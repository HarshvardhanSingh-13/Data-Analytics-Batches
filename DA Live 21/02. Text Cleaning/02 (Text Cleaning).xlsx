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Text Cleaning" sheetId="1" r:id="rId5"/>
    <sheet state="visible" name="Sheet2" sheetId="2" r:id="rId6"/>
    <sheet state="visible" name="Sheet1" sheetId="3" r:id="rId7"/>
  </sheets>
  <definedNames/>
  <calcPr/>
</workbook>
</file>

<file path=xl/sharedStrings.xml><?xml version="1.0" encoding="utf-8"?>
<sst xmlns="http://schemas.openxmlformats.org/spreadsheetml/2006/main" count="205" uniqueCount="66">
  <si>
    <t>Text</t>
  </si>
  <si>
    <t>Function</t>
  </si>
  <si>
    <t>Example</t>
  </si>
  <si>
    <t>CONCATENATION</t>
  </si>
  <si>
    <t xml:space="preserve">Harshvardhan </t>
  </si>
  <si>
    <t>Singh</t>
  </si>
  <si>
    <t>LEFT</t>
  </si>
  <si>
    <t>Harshvardhan Singh</t>
  </si>
  <si>
    <t>RIGHT</t>
  </si>
  <si>
    <t>LEN</t>
  </si>
  <si>
    <t xml:space="preserve">Harshvardhan Singh   </t>
  </si>
  <si>
    <t>MID</t>
  </si>
  <si>
    <t>Harshvardhan</t>
  </si>
  <si>
    <t>LOWER</t>
  </si>
  <si>
    <t>UPPER</t>
  </si>
  <si>
    <t>PROPER</t>
  </si>
  <si>
    <t>harshvardhan singh</t>
  </si>
  <si>
    <t>TRIM</t>
  </si>
  <si>
    <t xml:space="preserve"> Harshvardhan    singh</t>
  </si>
  <si>
    <t>FIND</t>
  </si>
  <si>
    <t># Position of Letter
# Case Sensitive</t>
  </si>
  <si>
    <t>SEARCH</t>
  </si>
  <si>
    <t># Non Case Sensitive</t>
  </si>
  <si>
    <t>harshvardhan</t>
  </si>
  <si>
    <t>singh</t>
  </si>
  <si>
    <t>REPLACE</t>
  </si>
  <si>
    <t>SUBSTITUTE</t>
  </si>
  <si>
    <t>EXACT</t>
  </si>
  <si>
    <t>Text Splitting</t>
  </si>
  <si>
    <t>First Name</t>
  </si>
  <si>
    <t>Last Name</t>
  </si>
  <si>
    <t>Full Name</t>
  </si>
  <si>
    <t>Age</t>
  </si>
  <si>
    <t>Eligiblility</t>
  </si>
  <si>
    <t>isnumber</t>
  </si>
  <si>
    <t>Eligible</t>
  </si>
  <si>
    <t xml:space="preserve">   harshvardhan</t>
  </si>
  <si>
    <t xml:space="preserve">  singh</t>
  </si>
  <si>
    <t xml:space="preserve"> Mohit</t>
  </si>
  <si>
    <t xml:space="preserve">          kumar</t>
  </si>
  <si>
    <t>harsh</t>
  </si>
  <si>
    <t xml:space="preserve">   samay</t>
  </si>
  <si>
    <t xml:space="preserve">  raina</t>
  </si>
  <si>
    <t>Splitting the text</t>
  </si>
  <si>
    <t xml:space="preserve">Text to Column </t>
  </si>
  <si>
    <t>vidit</t>
  </si>
  <si>
    <t>mohit</t>
  </si>
  <si>
    <t xml:space="preserve">Harshvardhan Singh          </t>
  </si>
  <si>
    <t xml:space="preserve"> Harshvardhan    singh.     </t>
  </si>
  <si>
    <t>AGE</t>
  </si>
  <si>
    <t>Eligibility</t>
  </si>
  <si>
    <t>IsNumber()</t>
  </si>
  <si>
    <t>If + IsNumber()</t>
  </si>
  <si>
    <t>Isblank()</t>
  </si>
  <si>
    <t>Harsh</t>
  </si>
  <si>
    <t xml:space="preserve">if + isblank() </t>
  </si>
  <si>
    <t>AS</t>
  </si>
  <si>
    <t xml:space="preserve">Harshvardhan Singh  </t>
  </si>
  <si>
    <t># CASE SENSITIVE</t>
  </si>
  <si>
    <t>isblank</t>
  </si>
  <si>
    <t>Is it a number ?</t>
  </si>
  <si>
    <t xml:space="preserve">   harshvardhan   </t>
  </si>
  <si>
    <t xml:space="preserve">   vinit</t>
  </si>
  <si>
    <t xml:space="preserve"> Shukla</t>
  </si>
  <si>
    <t xml:space="preserve">Akshay     </t>
  </si>
  <si>
    <t xml:space="preserve">      Dixit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</si>
</sst>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sz val="12.0"/>
      <color theme="0"/>
      <name val="Calibri"/>
    </font>
    <font/>
    <font>
      <sz val="12.0"/>
      <color rgb="FF44546A"/>
      <name val="Arial"/>
    </font>
    <font>
      <sz val="12.0"/>
      <color theme="1"/>
      <name val="Calibri"/>
    </font>
    <font>
      <color theme="1"/>
      <name val="Calibri"/>
      <scheme val="minor"/>
    </font>
    <font>
      <b/>
      <sz val="12.0"/>
      <color rgb="FFFF0000"/>
      <name val="Calibri"/>
    </font>
    <font>
      <sz val="12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1F3864"/>
        <bgColor rgb="FF1F3864"/>
      </patternFill>
    </fill>
  </fills>
  <borders count="11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5" fillId="0" fontId="3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4" fillId="0" fontId="4" numFmtId="0" xfId="0" applyBorder="1" applyFont="1"/>
    <xf borderId="0" fillId="0" fontId="4" numFmtId="0" xfId="0" applyFont="1"/>
    <xf borderId="0" fillId="0" fontId="4" numFmtId="2" xfId="0" applyFont="1" applyNumberFormat="1"/>
    <xf borderId="0" fillId="0" fontId="5" numFmtId="0" xfId="0" applyFont="1"/>
    <xf borderId="0" fillId="0" fontId="4" numFmtId="0" xfId="0" applyAlignment="1" applyFont="1">
      <alignment shrinkToFit="0" wrapText="1"/>
    </xf>
    <xf borderId="4" fillId="0" fontId="6" numFmtId="0" xfId="0" applyBorder="1" applyFont="1"/>
    <xf borderId="4" fillId="3" fontId="1" numFmtId="0" xfId="0" applyBorder="1" applyFill="1" applyFont="1"/>
    <xf borderId="8" fillId="3" fontId="1" numFmtId="0" xfId="0" applyBorder="1" applyFont="1"/>
    <xf borderId="5" fillId="3" fontId="1" numFmtId="0" xfId="0" applyAlignment="1" applyBorder="1" applyFont="1">
      <alignment horizontal="center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3" fontId="7" numFmtId="0" xfId="0" applyAlignment="1" applyBorder="1" applyFont="1">
      <alignment vertical="bottom"/>
    </xf>
    <xf borderId="4" fillId="3" fontId="7" numFmtId="0" xfId="0" applyAlignment="1" applyBorder="1" applyFont="1">
      <alignment readingOrder="0" vertical="bottom"/>
    </xf>
    <xf borderId="4" fillId="0" fontId="4" numFmtId="0" xfId="0" applyAlignment="1" applyBorder="1" applyFont="1">
      <alignment vertical="bottom"/>
    </xf>
    <xf borderId="4" fillId="0" fontId="5" numFmtId="0" xfId="0" applyAlignment="1" applyBorder="1" applyFont="1">
      <alignment readingOrder="0"/>
    </xf>
    <xf borderId="4" fillId="0" fontId="5" numFmtId="0" xfId="0" applyBorder="1" applyFont="1"/>
    <xf borderId="9" fillId="3" fontId="1" numFmtId="0" xfId="0" applyBorder="1" applyFont="1"/>
    <xf borderId="10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56"/>
    <col customWidth="1" min="3" max="3" width="17.22"/>
    <col customWidth="1" min="4" max="4" width="19.22"/>
    <col customWidth="1" min="5" max="5" width="19.11"/>
    <col customWidth="1" min="6" max="6" width="19.0"/>
    <col customWidth="1" min="7" max="7" width="20.56"/>
    <col customWidth="1" min="8" max="8" width="18.11"/>
    <col customWidth="1" min="9" max="9" width="8.56"/>
    <col customWidth="1" min="10" max="10" width="15.22"/>
    <col customWidth="1" min="11" max="11" width="14.44"/>
    <col customWidth="1" min="12" max="12" width="8.56"/>
    <col customWidth="1" min="13" max="13" width="19.22"/>
    <col customWidth="1" min="14" max="14" width="11.22"/>
    <col customWidth="1" min="15" max="26" width="8.56"/>
  </cols>
  <sheetData>
    <row r="1"/>
    <row r="2"/>
    <row r="3">
      <c r="C3" s="1" t="s">
        <v>0</v>
      </c>
      <c r="D3" s="2"/>
      <c r="E3" s="2"/>
      <c r="F3" s="2"/>
      <c r="G3" s="3"/>
    </row>
    <row r="4">
      <c r="C4" s="4" t="s">
        <v>1</v>
      </c>
      <c r="D4" s="5" t="s">
        <v>2</v>
      </c>
      <c r="E4" s="6"/>
      <c r="F4" s="6"/>
      <c r="G4" s="7"/>
    </row>
    <row r="5">
      <c r="C5" s="8" t="s">
        <v>3</v>
      </c>
      <c r="D5" s="8" t="s">
        <v>4</v>
      </c>
      <c r="E5" s="8" t="s">
        <v>5</v>
      </c>
      <c r="F5" s="8"/>
      <c r="G5" s="8" t="str">
        <f>CONCATENATE(D5," ",E5)</f>
        <v>Harshvardhan  Singh</v>
      </c>
    </row>
    <row r="6">
      <c r="C6" s="8" t="s">
        <v>6</v>
      </c>
      <c r="D6" s="8" t="s">
        <v>7</v>
      </c>
      <c r="E6" s="8"/>
      <c r="F6" s="8"/>
      <c r="G6" s="8" t="str">
        <f>LEFT(D6,3)</f>
        <v>Har</v>
      </c>
      <c r="J6" s="9"/>
      <c r="K6" s="10"/>
    </row>
    <row r="7">
      <c r="C7" s="8" t="s">
        <v>8</v>
      </c>
      <c r="D7" s="8" t="s">
        <v>7</v>
      </c>
      <c r="E7" s="8"/>
      <c r="F7" s="8"/>
      <c r="G7" s="8" t="str">
        <f>RIGHT(D7,7)</f>
        <v>n Singh</v>
      </c>
    </row>
    <row r="8">
      <c r="C8" s="8" t="s">
        <v>9</v>
      </c>
      <c r="D8" s="8" t="s">
        <v>10</v>
      </c>
      <c r="E8" s="8"/>
      <c r="F8" s="8"/>
      <c r="G8" s="8">
        <f>LEN(D8)</f>
        <v>21</v>
      </c>
    </row>
    <row r="9">
      <c r="C9" s="8" t="s">
        <v>11</v>
      </c>
      <c r="D9" s="8" t="s">
        <v>7</v>
      </c>
      <c r="E9" s="8"/>
      <c r="F9" s="8"/>
      <c r="G9" s="8" t="str">
        <f>MID(D9,2,4)</f>
        <v>arsh</v>
      </c>
      <c r="M9" s="8" t="s">
        <v>7</v>
      </c>
      <c r="N9" s="11" t="s">
        <v>12</v>
      </c>
      <c r="O9" s="11" t="s">
        <v>5</v>
      </c>
    </row>
    <row r="10">
      <c r="C10" s="8" t="s">
        <v>13</v>
      </c>
      <c r="D10" s="8" t="s">
        <v>7</v>
      </c>
      <c r="E10" s="8"/>
      <c r="F10" s="8"/>
      <c r="G10" s="8" t="str">
        <f>LOWER(D10)</f>
        <v>harshvardhan singh</v>
      </c>
      <c r="M10" s="8" t="s">
        <v>7</v>
      </c>
      <c r="N10" s="11" t="s">
        <v>12</v>
      </c>
      <c r="O10" s="11" t="s">
        <v>5</v>
      </c>
    </row>
    <row r="11">
      <c r="C11" s="8" t="s">
        <v>14</v>
      </c>
      <c r="D11" s="8" t="s">
        <v>7</v>
      </c>
      <c r="E11" s="8"/>
      <c r="F11" s="8"/>
      <c r="G11" s="8" t="str">
        <f>UPPER(D11)</f>
        <v>HARSHVARDHAN SINGH</v>
      </c>
      <c r="M11" s="8" t="s">
        <v>10</v>
      </c>
      <c r="N11" s="11" t="s">
        <v>12</v>
      </c>
      <c r="O11" s="11" t="s">
        <v>5</v>
      </c>
    </row>
    <row r="12">
      <c r="C12" s="8" t="s">
        <v>15</v>
      </c>
      <c r="D12" s="8" t="s">
        <v>16</v>
      </c>
      <c r="E12" s="8"/>
      <c r="F12" s="8"/>
      <c r="G12" s="8" t="str">
        <f>PROPER(D12)</f>
        <v>Harshvardhan Singh</v>
      </c>
      <c r="M12" s="8" t="s">
        <v>7</v>
      </c>
      <c r="N12" s="11" t="s">
        <v>12</v>
      </c>
      <c r="O12" s="11" t="s">
        <v>5</v>
      </c>
    </row>
    <row r="13">
      <c r="C13" s="8" t="s">
        <v>17</v>
      </c>
      <c r="D13" s="8" t="s">
        <v>18</v>
      </c>
      <c r="E13" s="8"/>
      <c r="F13" s="8"/>
      <c r="G13" s="8" t="str">
        <f>TRIM(D13)</f>
        <v>Harshvardhan singh</v>
      </c>
      <c r="M13" s="8" t="s">
        <v>7</v>
      </c>
      <c r="N13" s="11" t="s">
        <v>12</v>
      </c>
      <c r="O13" s="11" t="s">
        <v>5</v>
      </c>
    </row>
    <row r="14">
      <c r="C14" s="8" t="s">
        <v>19</v>
      </c>
      <c r="D14" s="8" t="s">
        <v>7</v>
      </c>
      <c r="E14" s="8"/>
      <c r="F14" s="8"/>
      <c r="G14" s="8">
        <f>FIND("h",D14)</f>
        <v>5</v>
      </c>
      <c r="H14" s="12" t="s">
        <v>20</v>
      </c>
      <c r="M14" s="8" t="s">
        <v>7</v>
      </c>
      <c r="N14" s="11" t="s">
        <v>12</v>
      </c>
      <c r="O14" s="11" t="s">
        <v>5</v>
      </c>
    </row>
    <row r="15">
      <c r="C15" s="13" t="s">
        <v>21</v>
      </c>
      <c r="D15" s="13" t="s">
        <v>7</v>
      </c>
      <c r="E15" s="13"/>
      <c r="F15" s="13"/>
      <c r="G15" s="13">
        <f>SEARCH("h",D15)</f>
        <v>1</v>
      </c>
      <c r="H15" s="11" t="s">
        <v>22</v>
      </c>
      <c r="M15" s="8" t="s">
        <v>16</v>
      </c>
      <c r="N15" s="11" t="s">
        <v>23</v>
      </c>
      <c r="O15" s="11" t="s">
        <v>24</v>
      </c>
    </row>
    <row r="16">
      <c r="C16" s="8" t="s">
        <v>25</v>
      </c>
      <c r="D16" s="8" t="s">
        <v>7</v>
      </c>
      <c r="E16" s="8"/>
      <c r="F16" s="8"/>
      <c r="G16" s="8" t="str">
        <f>REPLACE(D16,2,3,"-")</f>
        <v>H-hvardhan Singh</v>
      </c>
      <c r="M16" s="8" t="s">
        <v>18</v>
      </c>
      <c r="O16" s="11" t="s">
        <v>12</v>
      </c>
      <c r="P16" s="11" t="s">
        <v>24</v>
      </c>
    </row>
    <row r="17">
      <c r="C17" s="8" t="s">
        <v>26</v>
      </c>
      <c r="D17" s="8" t="s">
        <v>7</v>
      </c>
      <c r="E17" s="8"/>
      <c r="F17" s="8"/>
      <c r="G17" s="8" t="str">
        <f>SUBSTITUTE(D17,"Singh","Sharma")</f>
        <v>Harshvardhan Sharma</v>
      </c>
      <c r="M17" s="8" t="s">
        <v>7</v>
      </c>
      <c r="N17" s="11" t="s">
        <v>12</v>
      </c>
      <c r="O17" s="11" t="s">
        <v>5</v>
      </c>
    </row>
    <row r="18">
      <c r="C18" s="8" t="s">
        <v>27</v>
      </c>
      <c r="D18" s="8" t="s">
        <v>7</v>
      </c>
      <c r="E18" s="8"/>
      <c r="F18" s="8"/>
      <c r="G18" s="8" t="b">
        <f>EXACT(D18,E15)</f>
        <v>0</v>
      </c>
      <c r="M18" s="13" t="s">
        <v>7</v>
      </c>
      <c r="N18" s="11" t="s">
        <v>12</v>
      </c>
      <c r="O18" s="11" t="s">
        <v>5</v>
      </c>
    </row>
    <row r="19">
      <c r="C19" s="8" t="s">
        <v>28</v>
      </c>
      <c r="D19" s="8" t="s">
        <v>7</v>
      </c>
      <c r="E19" s="8" t="s">
        <v>12</v>
      </c>
      <c r="F19" s="8" t="s">
        <v>5</v>
      </c>
      <c r="G19" s="8"/>
      <c r="M19" s="8" t="s">
        <v>7</v>
      </c>
      <c r="N19" s="11" t="s">
        <v>12</v>
      </c>
      <c r="O19" s="11" t="s">
        <v>5</v>
      </c>
    </row>
    <row r="20">
      <c r="M20" s="8" t="s">
        <v>7</v>
      </c>
      <c r="N20" s="11" t="s">
        <v>12</v>
      </c>
      <c r="O20" s="11" t="s">
        <v>5</v>
      </c>
    </row>
    <row r="21">
      <c r="M21" s="8" t="s">
        <v>7</v>
      </c>
      <c r="N21" s="11" t="s">
        <v>12</v>
      </c>
      <c r="O21" s="11" t="s">
        <v>5</v>
      </c>
    </row>
    <row r="22">
      <c r="C22" s="14" t="s">
        <v>29</v>
      </c>
      <c r="D22" s="14" t="s">
        <v>30</v>
      </c>
      <c r="E22" s="14" t="s">
        <v>31</v>
      </c>
      <c r="F22" s="15" t="s">
        <v>32</v>
      </c>
      <c r="G22" s="15" t="s">
        <v>33</v>
      </c>
      <c r="H22" s="15" t="s">
        <v>34</v>
      </c>
      <c r="K22" s="15" t="s">
        <v>32</v>
      </c>
      <c r="L22" s="15" t="s">
        <v>35</v>
      </c>
      <c r="M22" s="15" t="s">
        <v>34</v>
      </c>
      <c r="O22" s="11" t="s">
        <v>5</v>
      </c>
    </row>
    <row r="23">
      <c r="C23" s="8" t="s">
        <v>36</v>
      </c>
      <c r="D23" s="8" t="s">
        <v>37</v>
      </c>
      <c r="E23" s="8" t="str">
        <f t="shared" ref="E23:E25" si="1">PROPER(TRIM(CONCATENATE(C23,D23)))</f>
        <v>Harshvardhan Singh</v>
      </c>
      <c r="F23" s="8">
        <v>24.0</v>
      </c>
      <c r="G23" s="8" t="str">
        <f t="shared" ref="G23:G25" si="2">IF(F23&gt;18,"Eligible","NE")</f>
        <v>Eligible</v>
      </c>
      <c r="H23" s="11" t="b">
        <f t="shared" ref="H23:H25" si="3">ISNUMBER(F23)</f>
        <v>1</v>
      </c>
      <c r="K23" s="8">
        <v>17.0</v>
      </c>
      <c r="L23" s="8" t="str">
        <f t="shared" ref="L23:L25" si="4">IF(K23&gt;=18,"Eligible","Not Eligible")</f>
        <v>Not Eligible</v>
      </c>
      <c r="M23" s="11" t="b">
        <f t="shared" ref="M23:M25" si="5">ISNUMBER(K23)</f>
        <v>1</v>
      </c>
      <c r="N23" s="11">
        <f t="shared" ref="N23:N25" si="6">IF(ISNUMBER(K23),K23,-1)</f>
        <v>17</v>
      </c>
    </row>
    <row r="24">
      <c r="C24" s="8" t="s">
        <v>38</v>
      </c>
      <c r="D24" s="8" t="s">
        <v>39</v>
      </c>
      <c r="E24" s="8" t="str">
        <f t="shared" si="1"/>
        <v>Mohit Kumar</v>
      </c>
      <c r="F24" s="8" t="s">
        <v>40</v>
      </c>
      <c r="G24" s="8" t="str">
        <f t="shared" si="2"/>
        <v>Eligible</v>
      </c>
      <c r="H24" s="11" t="b">
        <f t="shared" si="3"/>
        <v>0</v>
      </c>
      <c r="K24" s="8">
        <v>26.0</v>
      </c>
      <c r="L24" s="8" t="str">
        <f t="shared" si="4"/>
        <v>Eligible</v>
      </c>
      <c r="M24" s="11" t="b">
        <f t="shared" si="5"/>
        <v>1</v>
      </c>
      <c r="N24" s="11">
        <f t="shared" si="6"/>
        <v>26</v>
      </c>
    </row>
    <row r="25">
      <c r="C25" s="8" t="s">
        <v>41</v>
      </c>
      <c r="D25" s="8" t="s">
        <v>42</v>
      </c>
      <c r="E25" s="8" t="str">
        <f t="shared" si="1"/>
        <v>Samay Raina</v>
      </c>
      <c r="F25" s="8">
        <v>56.0</v>
      </c>
      <c r="G25" s="8" t="str">
        <f t="shared" si="2"/>
        <v>Eligible</v>
      </c>
      <c r="H25" s="11" t="b">
        <f t="shared" si="3"/>
        <v>1</v>
      </c>
      <c r="K25" s="8">
        <v>-1.0</v>
      </c>
      <c r="L25" s="8" t="str">
        <f t="shared" si="4"/>
        <v>Not Eligible</v>
      </c>
      <c r="M25" s="11" t="b">
        <f t="shared" si="5"/>
        <v>1</v>
      </c>
      <c r="N25" s="11">
        <f t="shared" si="6"/>
        <v>-1</v>
      </c>
    </row>
    <row r="29">
      <c r="C29" s="16" t="s">
        <v>43</v>
      </c>
      <c r="D29" s="7"/>
      <c r="F29" s="11" t="s">
        <v>44</v>
      </c>
    </row>
    <row r="30">
      <c r="C30" s="8" t="s">
        <v>7</v>
      </c>
      <c r="D30" s="8"/>
    </row>
    <row r="35">
      <c r="C35" s="11" t="s">
        <v>40</v>
      </c>
    </row>
    <row r="36">
      <c r="C36" s="11" t="s">
        <v>45</v>
      </c>
    </row>
    <row r="37">
      <c r="C37" s="11" t="s">
        <v>46</v>
      </c>
    </row>
    <row r="38">
      <c r="C38" s="17">
        <v>5.0</v>
      </c>
    </row>
    <row r="44">
      <c r="C44" s="9"/>
      <c r="D44" s="9"/>
    </row>
    <row r="45">
      <c r="C45" s="9"/>
      <c r="D45" s="9"/>
    </row>
  </sheetData>
  <mergeCells count="3">
    <mergeCell ref="D4:G4"/>
    <mergeCell ref="C29:D29"/>
    <mergeCell ref="C3:G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5.89"/>
    <col customWidth="1" min="3" max="3" width="16.78"/>
    <col customWidth="1" min="4" max="4" width="16.11"/>
    <col customWidth="1" min="5" max="5" width="16.56"/>
    <col customWidth="1" min="6" max="6" width="18.22"/>
    <col customWidth="1" min="8" max="8" width="12.56"/>
  </cols>
  <sheetData>
    <row r="2">
      <c r="B2" s="1" t="s">
        <v>0</v>
      </c>
      <c r="C2" s="2"/>
      <c r="D2" s="2"/>
      <c r="E2" s="2"/>
      <c r="F2" s="3"/>
    </row>
    <row r="3">
      <c r="B3" s="4" t="s">
        <v>1</v>
      </c>
      <c r="C3" s="5" t="s">
        <v>2</v>
      </c>
      <c r="D3" s="6"/>
      <c r="E3" s="6"/>
      <c r="F3" s="7"/>
    </row>
    <row r="4">
      <c r="B4" s="8" t="s">
        <v>3</v>
      </c>
      <c r="C4" s="18" t="s">
        <v>12</v>
      </c>
      <c r="D4" s="8" t="s">
        <v>5</v>
      </c>
      <c r="E4" s="8"/>
      <c r="F4" s="8" t="str">
        <f>CONCATENATE(C4," ",D4)</f>
        <v>Harshvardhan Singh</v>
      </c>
    </row>
    <row r="5">
      <c r="B5" s="8" t="s">
        <v>6</v>
      </c>
      <c r="C5" s="8" t="s">
        <v>7</v>
      </c>
      <c r="D5" s="8"/>
      <c r="E5" s="8"/>
      <c r="F5" s="8" t="str">
        <f>LEFT(C5,10)</f>
        <v>Harshvardh</v>
      </c>
    </row>
    <row r="6">
      <c r="B6" s="8" t="s">
        <v>8</v>
      </c>
      <c r="C6" s="8" t="s">
        <v>7</v>
      </c>
      <c r="D6" s="8"/>
      <c r="E6" s="8"/>
      <c r="F6" s="8" t="str">
        <f>RIGHT(C6,7)</f>
        <v>n Singh</v>
      </c>
    </row>
    <row r="7">
      <c r="B7" s="8" t="s">
        <v>9</v>
      </c>
      <c r="C7" s="18" t="s">
        <v>47</v>
      </c>
      <c r="D7" s="8"/>
      <c r="E7" s="8"/>
      <c r="F7" s="8">
        <f>len(C7)</f>
        <v>28</v>
      </c>
    </row>
    <row r="8">
      <c r="B8" s="8" t="s">
        <v>11</v>
      </c>
      <c r="C8" s="8" t="s">
        <v>7</v>
      </c>
      <c r="D8" s="8"/>
      <c r="E8" s="8"/>
      <c r="F8" s="8" t="str">
        <f>MID(C8,4,2)</f>
        <v>sh</v>
      </c>
    </row>
    <row r="9">
      <c r="B9" s="8" t="s">
        <v>13</v>
      </c>
      <c r="C9" s="8" t="s">
        <v>7</v>
      </c>
      <c r="D9" s="8"/>
      <c r="E9" s="8"/>
      <c r="F9" s="8" t="str">
        <f>LOWER(C9)</f>
        <v>harshvardhan singh</v>
      </c>
    </row>
    <row r="10">
      <c r="B10" s="8" t="s">
        <v>14</v>
      </c>
      <c r="C10" s="8" t="s">
        <v>7</v>
      </c>
      <c r="D10" s="8"/>
      <c r="E10" s="8"/>
      <c r="F10" s="8" t="str">
        <f>UPPER(C10)</f>
        <v>HARSHVARDHAN SINGH</v>
      </c>
    </row>
    <row r="11">
      <c r="B11" s="8" t="s">
        <v>15</v>
      </c>
      <c r="C11" s="8" t="s">
        <v>16</v>
      </c>
      <c r="D11" s="8"/>
      <c r="E11" s="8"/>
      <c r="F11" s="8" t="str">
        <f>PROPER(C11)</f>
        <v>Harshvardhan Singh</v>
      </c>
    </row>
    <row r="12">
      <c r="B12" s="8" t="s">
        <v>17</v>
      </c>
      <c r="C12" s="18" t="s">
        <v>48</v>
      </c>
      <c r="D12" s="8"/>
      <c r="E12" s="8"/>
      <c r="F12" s="8" t="str">
        <f>TRIM(C12)</f>
        <v>Harshvardhan singh.</v>
      </c>
      <c r="G12" s="11" t="str">
        <f>TRIM(C12)</f>
        <v>Harshvardhan singh.</v>
      </c>
    </row>
    <row r="13">
      <c r="B13" s="8" t="s">
        <v>19</v>
      </c>
      <c r="C13" s="8" t="s">
        <v>7</v>
      </c>
      <c r="D13" s="8"/>
      <c r="E13" s="8"/>
      <c r="F13" s="8">
        <f>FIND("h",C13)</f>
        <v>5</v>
      </c>
    </row>
    <row r="14">
      <c r="B14" s="13" t="s">
        <v>21</v>
      </c>
      <c r="C14" s="13" t="s">
        <v>7</v>
      </c>
      <c r="D14" s="13"/>
      <c r="E14" s="13"/>
      <c r="F14" s="13">
        <f>SEARCH("h",C14)</f>
        <v>1</v>
      </c>
    </row>
    <row r="15">
      <c r="B15" s="8" t="s">
        <v>25</v>
      </c>
      <c r="C15" s="8" t="s">
        <v>7</v>
      </c>
      <c r="D15" s="8"/>
      <c r="E15" s="8"/>
      <c r="F15" s="8" t="str">
        <f>REPLACE(C15,2,3,"-")</f>
        <v>H-hvardhan Singh</v>
      </c>
      <c r="G15" s="11" t="str">
        <f>REPLACE(C15,2,3,"-")</f>
        <v>H-hvardhan Singh</v>
      </c>
    </row>
    <row r="16">
      <c r="B16" s="8" t="s">
        <v>26</v>
      </c>
      <c r="C16" s="8" t="s">
        <v>7</v>
      </c>
      <c r="D16" s="8"/>
      <c r="E16" s="8"/>
      <c r="F16" s="8" t="str">
        <f>SUBSTITUTE(C16,"Singh","Sharma")</f>
        <v>Harshvardhan Sharma</v>
      </c>
      <c r="G16" s="11" t="str">
        <f>SUBSTITUTE(C16,"Singh","Sharma")</f>
        <v>Harshvardhan Sharma</v>
      </c>
    </row>
    <row r="17">
      <c r="B17" s="8" t="s">
        <v>27</v>
      </c>
      <c r="C17" s="18" t="s">
        <v>7</v>
      </c>
      <c r="D17" s="8"/>
      <c r="E17" s="8"/>
      <c r="F17" s="8" t="b">
        <f>EXACT(C17,C16)</f>
        <v>1</v>
      </c>
    </row>
    <row r="18">
      <c r="B18" s="8" t="s">
        <v>28</v>
      </c>
      <c r="C18" s="8" t="s">
        <v>7</v>
      </c>
      <c r="D18" s="8"/>
      <c r="E18" s="8"/>
      <c r="F18" s="8" t="str">
        <f>IFERROR(__xludf.DUMMYFUNCTION("SPLIT(C18,"" "")"),"Harshvardhan")</f>
        <v>Harshvardhan</v>
      </c>
      <c r="G18" s="11" t="str">
        <f>IFERROR(__xludf.DUMMYFUNCTION("""COMPUTED_VALUE"""),"Singh")</f>
        <v>Singh</v>
      </c>
    </row>
    <row r="23">
      <c r="B23" s="19" t="s">
        <v>29</v>
      </c>
      <c r="C23" s="19" t="s">
        <v>30</v>
      </c>
      <c r="D23" s="20" t="s">
        <v>31</v>
      </c>
      <c r="E23" s="20" t="s">
        <v>49</v>
      </c>
      <c r="F23" s="20" t="s">
        <v>50</v>
      </c>
      <c r="G23" s="20" t="s">
        <v>51</v>
      </c>
      <c r="H23" s="20" t="s">
        <v>52</v>
      </c>
      <c r="I23" s="20" t="s">
        <v>53</v>
      </c>
    </row>
    <row r="24">
      <c r="B24" s="21" t="s">
        <v>36</v>
      </c>
      <c r="C24" s="21" t="s">
        <v>37</v>
      </c>
      <c r="D24" s="22" t="str">
        <f t="shared" ref="D24:D26" si="1">PROPER(TRIM(CONCATENATE(B24,C24)))</f>
        <v>Harshvardhan Singh</v>
      </c>
      <c r="E24" s="22"/>
      <c r="F24" s="23" t="str">
        <f t="shared" ref="F24:F26" si="2">IF(E24&gt;=18,"Eligible","Not Eligible")</f>
        <v>Not Eligible</v>
      </c>
      <c r="G24" s="23" t="b">
        <f t="shared" ref="G24:G26" si="3">ISNUMBER(E24)</f>
        <v>0</v>
      </c>
      <c r="H24" s="22" t="str">
        <f t="shared" ref="H24:H26" si="4">IF(ISNUMBER(E24),"A Number","A Text")</f>
        <v>A Text</v>
      </c>
      <c r="I24" s="11" t="b">
        <f t="shared" ref="I24:I26" si="5">ISBLANK(E24)</f>
        <v>1</v>
      </c>
    </row>
    <row r="25">
      <c r="B25" s="21" t="s">
        <v>38</v>
      </c>
      <c r="C25" s="21" t="s">
        <v>39</v>
      </c>
      <c r="D25" s="22" t="str">
        <f t="shared" si="1"/>
        <v>Mohit Kumar</v>
      </c>
      <c r="E25" s="22" t="s">
        <v>54</v>
      </c>
      <c r="F25" s="23" t="str">
        <f t="shared" si="2"/>
        <v>Eligible</v>
      </c>
      <c r="G25" s="23" t="b">
        <f t="shared" si="3"/>
        <v>0</v>
      </c>
      <c r="H25" s="22" t="str">
        <f t="shared" si="4"/>
        <v>A Text</v>
      </c>
      <c r="I25" s="11" t="b">
        <f t="shared" si="5"/>
        <v>0</v>
      </c>
    </row>
    <row r="26">
      <c r="B26" s="21" t="s">
        <v>41</v>
      </c>
      <c r="C26" s="21" t="s">
        <v>42</v>
      </c>
      <c r="D26" s="22" t="str">
        <f t="shared" si="1"/>
        <v>Samay Raina</v>
      </c>
      <c r="E26" s="22">
        <v>16.0</v>
      </c>
      <c r="F26" s="23" t="str">
        <f t="shared" si="2"/>
        <v>Not Eligible</v>
      </c>
      <c r="G26" s="23" t="b">
        <f t="shared" si="3"/>
        <v>1</v>
      </c>
      <c r="H26" s="22" t="str">
        <f t="shared" si="4"/>
        <v>A Number</v>
      </c>
      <c r="I26" s="11" t="b">
        <f t="shared" si="5"/>
        <v>0</v>
      </c>
    </row>
    <row r="31">
      <c r="C31" s="20" t="s">
        <v>49</v>
      </c>
      <c r="D31" s="22" t="s">
        <v>55</v>
      </c>
    </row>
    <row r="32">
      <c r="C32" s="22"/>
      <c r="D32" s="22" t="str">
        <f t="shared" ref="D32:D39" si="6">IF(ISBLANK(C32),"Blank","Not Blank")</f>
        <v>Blank</v>
      </c>
    </row>
    <row r="33">
      <c r="C33" s="22" t="s">
        <v>54</v>
      </c>
      <c r="D33" s="22" t="str">
        <f t="shared" si="6"/>
        <v>Not Blank</v>
      </c>
    </row>
    <row r="34">
      <c r="C34" s="22">
        <v>16.0</v>
      </c>
      <c r="D34" s="22" t="str">
        <f t="shared" si="6"/>
        <v>Not Blank</v>
      </c>
    </row>
    <row r="35">
      <c r="C35" s="22">
        <v>23.0</v>
      </c>
      <c r="D35" s="22" t="str">
        <f t="shared" si="6"/>
        <v>Not Blank</v>
      </c>
    </row>
    <row r="36">
      <c r="C36" s="22" t="s">
        <v>54</v>
      </c>
      <c r="D36" s="22" t="str">
        <f t="shared" si="6"/>
        <v>Not Blank</v>
      </c>
    </row>
    <row r="37">
      <c r="C37" s="22">
        <v>16.0</v>
      </c>
      <c r="D37" s="22" t="str">
        <f t="shared" si="6"/>
        <v>Not Blank</v>
      </c>
    </row>
    <row r="38">
      <c r="C38" s="22"/>
      <c r="D38" s="22" t="str">
        <f t="shared" si="6"/>
        <v>Blank</v>
      </c>
    </row>
    <row r="39">
      <c r="C39" s="22">
        <v>16.0</v>
      </c>
      <c r="D39" s="22" t="str">
        <f t="shared" si="6"/>
        <v>Not Blank</v>
      </c>
    </row>
  </sheetData>
  <mergeCells count="2">
    <mergeCell ref="C3:F3"/>
    <mergeCell ref="B2:F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5.56"/>
    <col customWidth="1" min="3" max="3" width="19.67"/>
    <col customWidth="1" min="4" max="4" width="20.22"/>
    <col customWidth="1" min="5" max="5" width="17.56"/>
    <col customWidth="1" min="6" max="6" width="20.67"/>
    <col customWidth="1" min="7" max="7" width="8.56"/>
    <col customWidth="1" min="8" max="8" width="14.0"/>
    <col customWidth="1" min="9" max="26" width="8.56"/>
  </cols>
  <sheetData>
    <row r="1"/>
    <row r="2">
      <c r="B2" s="1" t="s">
        <v>0</v>
      </c>
      <c r="C2" s="2"/>
      <c r="D2" s="2"/>
      <c r="E2" s="2"/>
      <c r="F2" s="3"/>
    </row>
    <row r="3">
      <c r="B3" s="4" t="s">
        <v>1</v>
      </c>
      <c r="C3" s="5" t="s">
        <v>2</v>
      </c>
      <c r="D3" s="6"/>
      <c r="E3" s="6"/>
      <c r="F3" s="7"/>
    </row>
    <row r="4">
      <c r="B4" s="8" t="s">
        <v>3</v>
      </c>
      <c r="C4" s="8" t="s">
        <v>4</v>
      </c>
      <c r="D4" s="8" t="s">
        <v>5</v>
      </c>
      <c r="E4" s="8" t="s">
        <v>56</v>
      </c>
      <c r="F4" s="8" t="str">
        <f>CONCATENATE(C4,"+",D4)</f>
        <v>Harshvardhan +Singh</v>
      </c>
    </row>
    <row r="5">
      <c r="B5" s="8" t="s">
        <v>6</v>
      </c>
      <c r="C5" s="8" t="s">
        <v>7</v>
      </c>
      <c r="D5" s="8"/>
      <c r="E5" s="8"/>
      <c r="F5" s="8" t="str">
        <f>LEFT(C5,4)</f>
        <v>Hars</v>
      </c>
    </row>
    <row r="6">
      <c r="B6" s="8" t="s">
        <v>8</v>
      </c>
      <c r="C6" s="8" t="s">
        <v>7</v>
      </c>
      <c r="D6" s="8"/>
      <c r="E6" s="8"/>
      <c r="F6" s="8" t="str">
        <f>RIGHT(C6,4)</f>
        <v>ingh</v>
      </c>
    </row>
    <row r="7">
      <c r="B7" s="8" t="s">
        <v>9</v>
      </c>
      <c r="C7" s="8" t="s">
        <v>57</v>
      </c>
      <c r="D7" s="8"/>
      <c r="E7" s="8"/>
      <c r="F7" s="8">
        <f>LEN(C7)</f>
        <v>20</v>
      </c>
    </row>
    <row r="8">
      <c r="B8" s="8" t="s">
        <v>11</v>
      </c>
      <c r="C8" s="8" t="s">
        <v>7</v>
      </c>
      <c r="D8" s="8"/>
      <c r="E8" s="8"/>
      <c r="F8" s="8" t="str">
        <f>MID(C8,6,7)</f>
        <v>vardhan</v>
      </c>
    </row>
    <row r="9">
      <c r="B9" s="8" t="s">
        <v>13</v>
      </c>
      <c r="C9" s="8" t="s">
        <v>7</v>
      </c>
      <c r="D9" s="8"/>
      <c r="E9" s="8"/>
      <c r="F9" s="8" t="str">
        <f>LOWER(C9)</f>
        <v>harshvardhan singh</v>
      </c>
    </row>
    <row r="10">
      <c r="B10" s="8" t="s">
        <v>14</v>
      </c>
      <c r="C10" s="8" t="s">
        <v>7</v>
      </c>
      <c r="D10" s="8"/>
      <c r="E10" s="8"/>
      <c r="F10" s="8" t="str">
        <f>UPPER(C10)</f>
        <v>HARSHVARDHAN SINGH</v>
      </c>
    </row>
    <row r="11">
      <c r="B11" s="8" t="s">
        <v>15</v>
      </c>
      <c r="C11" s="8" t="s">
        <v>16</v>
      </c>
      <c r="D11" s="8"/>
      <c r="E11" s="8"/>
      <c r="F11" s="8" t="str">
        <f>PROPER(C11)</f>
        <v>Harshvardhan Singh</v>
      </c>
    </row>
    <row r="12">
      <c r="B12" s="8" t="s">
        <v>17</v>
      </c>
      <c r="C12" s="8" t="s">
        <v>18</v>
      </c>
      <c r="D12" s="8"/>
      <c r="E12" s="8"/>
      <c r="F12" s="8" t="str">
        <f>TRIM(C12)</f>
        <v>Harshvardhan singh</v>
      </c>
    </row>
    <row r="13">
      <c r="B13" s="8" t="s">
        <v>19</v>
      </c>
      <c r="C13" s="8" t="s">
        <v>7</v>
      </c>
      <c r="D13" s="8"/>
      <c r="E13" s="8"/>
      <c r="F13" s="8">
        <f>FIND("h",C13)</f>
        <v>5</v>
      </c>
      <c r="G13" s="11" t="s">
        <v>58</v>
      </c>
    </row>
    <row r="14">
      <c r="B14" s="13" t="s">
        <v>21</v>
      </c>
      <c r="C14" s="13" t="s">
        <v>7</v>
      </c>
      <c r="D14" s="13"/>
      <c r="E14" s="13"/>
      <c r="F14" s="13">
        <f>SEARCH("h",C14)</f>
        <v>1</v>
      </c>
    </row>
    <row r="15">
      <c r="B15" s="8" t="s">
        <v>25</v>
      </c>
      <c r="C15" s="8" t="s">
        <v>7</v>
      </c>
      <c r="D15" s="8"/>
      <c r="E15" s="8"/>
      <c r="F15" s="8" t="str">
        <f>REPLACE(C15,2,2,"-")</f>
        <v>H-shvardhan Singh</v>
      </c>
    </row>
    <row r="16">
      <c r="B16" s="8" t="s">
        <v>26</v>
      </c>
      <c r="C16" s="8" t="s">
        <v>7</v>
      </c>
      <c r="D16" s="8"/>
      <c r="E16" s="8"/>
      <c r="F16" s="8" t="str">
        <f>SUBSTITUTE(C16,"Singh","Sharma")</f>
        <v>Harshvardhan Sharma</v>
      </c>
    </row>
    <row r="17">
      <c r="B17" s="8" t="s">
        <v>27</v>
      </c>
      <c r="C17" s="8" t="s">
        <v>7</v>
      </c>
      <c r="D17" s="8"/>
      <c r="E17" s="8"/>
      <c r="F17" s="8" t="b">
        <f>EXACT(C17,C12)</f>
        <v>0</v>
      </c>
    </row>
    <row r="18">
      <c r="B18" s="8" t="s">
        <v>28</v>
      </c>
      <c r="C18" s="8" t="s">
        <v>7</v>
      </c>
      <c r="D18" s="8" t="s">
        <v>12</v>
      </c>
      <c r="E18" s="8" t="s">
        <v>5</v>
      </c>
      <c r="F18" s="8"/>
    </row>
    <row r="19"/>
    <row r="20"/>
    <row r="22">
      <c r="B22" s="14" t="s">
        <v>29</v>
      </c>
      <c r="C22" s="14" t="s">
        <v>30</v>
      </c>
      <c r="D22" s="24" t="s">
        <v>31</v>
      </c>
      <c r="E22" s="24" t="s">
        <v>32</v>
      </c>
      <c r="F22" s="24" t="s">
        <v>50</v>
      </c>
      <c r="G22" s="25" t="s">
        <v>59</v>
      </c>
      <c r="H22" s="25" t="s">
        <v>60</v>
      </c>
    </row>
    <row r="23">
      <c r="B23" s="8" t="s">
        <v>61</v>
      </c>
      <c r="C23" s="8" t="s">
        <v>37</v>
      </c>
      <c r="D23" s="11" t="str">
        <f t="shared" ref="D23:D25" si="1">TRIM(PROPER(CONCATENATE(B23,C23)))</f>
        <v>Harshvardhan Singh</v>
      </c>
      <c r="E23" s="8">
        <v>23.0</v>
      </c>
      <c r="F23" s="11" t="str">
        <f t="shared" ref="F23:F25" si="2">IF(E23&gt;=18,"Eligible","Not El")</f>
        <v>Eligible</v>
      </c>
      <c r="G23" s="11" t="b">
        <f t="shared" ref="G23:G25" si="3">ISBLANK(E23)</f>
        <v>0</v>
      </c>
      <c r="H23" s="11">
        <f t="shared" ref="H23:H26" si="4">IF(ISNUMBER(E23),E23,-1)</f>
        <v>23</v>
      </c>
    </row>
    <row r="24">
      <c r="B24" s="8" t="s">
        <v>62</v>
      </c>
      <c r="C24" s="8" t="s">
        <v>63</v>
      </c>
      <c r="D24" s="11" t="str">
        <f t="shared" si="1"/>
        <v>Vinit Shukla</v>
      </c>
      <c r="E24" s="8">
        <v>45.0</v>
      </c>
      <c r="F24" s="11" t="str">
        <f t="shared" si="2"/>
        <v>Eligible</v>
      </c>
      <c r="G24" s="11" t="b">
        <f t="shared" si="3"/>
        <v>0</v>
      </c>
      <c r="H24" s="11">
        <f t="shared" si="4"/>
        <v>45</v>
      </c>
    </row>
    <row r="25">
      <c r="B25" s="8" t="s">
        <v>64</v>
      </c>
      <c r="C25" s="8" t="s">
        <v>65</v>
      </c>
      <c r="D25" s="11" t="str">
        <f t="shared" si="1"/>
        <v>Akshay Dixit</v>
      </c>
      <c r="E25" s="8" t="s">
        <v>40</v>
      </c>
      <c r="F25" s="11" t="str">
        <f t="shared" si="2"/>
        <v>Eligible</v>
      </c>
      <c r="G25" s="11" t="b">
        <f t="shared" si="3"/>
        <v>0</v>
      </c>
      <c r="H25" s="11">
        <f t="shared" si="4"/>
        <v>-1</v>
      </c>
    </row>
    <row r="26">
      <c r="E26" s="8">
        <v>23.0</v>
      </c>
      <c r="H26" s="11">
        <f t="shared" si="4"/>
        <v>23</v>
      </c>
    </row>
  </sheetData>
  <mergeCells count="2">
    <mergeCell ref="B2:F2"/>
    <mergeCell ref="C3:F3"/>
  </mergeCells>
  <printOptions/>
  <pageMargins bottom="0.75" footer="0.0" header="0.0" left="0.7" right="0.7" top="0.75"/>
  <pageSetup orientation="landscape"/>
  <drawing r:id="rId1"/>
</worksheet>
</file>