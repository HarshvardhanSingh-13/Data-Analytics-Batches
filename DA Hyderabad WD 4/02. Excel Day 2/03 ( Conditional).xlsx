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rshvardhan Singh\Desktop\Excel\"/>
    </mc:Choice>
  </mc:AlternateContent>
  <bookViews>
    <workbookView xWindow="0" yWindow="0" windowWidth="23040" windowHeight="9192" activeTab="2"/>
  </bookViews>
  <sheets>
    <sheet name="1. Conditional" sheetId="2" r:id="rId1"/>
    <sheet name="Sheet2" sheetId="7" r:id="rId2"/>
    <sheet name="Sheet1" sheetId="8" r:id="rId3"/>
    <sheet name="2. Handling Null and Duplicate" sheetId="5" r:id="rId4"/>
  </sheets>
  <definedNames>
    <definedName name="_xlnm._FilterDatabase" localSheetId="0" hidden="1">'1. Conditional'!$B$6:$I$13</definedName>
    <definedName name="_xlnm._FilterDatabase" localSheetId="3" hidden="1">'2. Handling Null and Duplicate'!$B$37:$E$37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8" l="1"/>
  <c r="L5" i="8"/>
  <c r="L6" i="8"/>
  <c r="L7" i="8"/>
  <c r="L8" i="8"/>
  <c r="L9" i="8"/>
  <c r="L10" i="8"/>
  <c r="L3" i="8"/>
  <c r="K3" i="8"/>
  <c r="K4" i="8"/>
  <c r="K5" i="8"/>
  <c r="K6" i="8"/>
  <c r="K7" i="8"/>
  <c r="K8" i="8"/>
  <c r="K9" i="8"/>
  <c r="K10" i="8"/>
  <c r="I4" i="8"/>
  <c r="I5" i="8"/>
  <c r="I6" i="8"/>
  <c r="I7" i="8"/>
  <c r="I8" i="8"/>
  <c r="I9" i="8"/>
  <c r="I10" i="8"/>
  <c r="I3" i="8"/>
  <c r="H3" i="8"/>
  <c r="H4" i="8"/>
  <c r="H5" i="8"/>
  <c r="H6" i="8"/>
  <c r="H7" i="8"/>
  <c r="H8" i="8"/>
  <c r="H9" i="8"/>
  <c r="H10" i="8"/>
  <c r="G4" i="8"/>
  <c r="G5" i="8"/>
  <c r="G6" i="8"/>
  <c r="G7" i="8"/>
  <c r="G8" i="8"/>
  <c r="G9" i="8"/>
  <c r="G10" i="8"/>
  <c r="G3" i="8"/>
  <c r="F4" i="8"/>
  <c r="F5" i="8"/>
  <c r="F6" i="8"/>
  <c r="F7" i="8"/>
  <c r="F8" i="8"/>
  <c r="F9" i="8"/>
  <c r="F10" i="8"/>
  <c r="F3" i="8"/>
  <c r="E4" i="8"/>
  <c r="E5" i="8"/>
  <c r="E6" i="8"/>
  <c r="E7" i="8"/>
  <c r="E8" i="8"/>
  <c r="E9" i="8"/>
  <c r="E10" i="8"/>
  <c r="E3" i="8"/>
  <c r="D4" i="8"/>
  <c r="D5" i="8"/>
  <c r="D6" i="8"/>
  <c r="D7" i="8"/>
  <c r="D8" i="8"/>
  <c r="D9" i="8"/>
  <c r="D10" i="8"/>
  <c r="D3" i="8"/>
  <c r="L4" i="7" l="1"/>
  <c r="L5" i="7"/>
  <c r="L6" i="7"/>
  <c r="L7" i="7"/>
  <c r="L8" i="7"/>
  <c r="L9" i="7"/>
  <c r="L10" i="7"/>
  <c r="L11" i="7"/>
  <c r="K9" i="7"/>
  <c r="K4" i="7"/>
  <c r="K5" i="7"/>
  <c r="K6" i="7"/>
  <c r="K7" i="7"/>
  <c r="K8" i="7"/>
  <c r="K10" i="7"/>
  <c r="K11" i="7"/>
  <c r="J4" i="7"/>
  <c r="J5" i="7"/>
  <c r="J6" i="7"/>
  <c r="J7" i="7"/>
  <c r="J8" i="7"/>
  <c r="J9" i="7"/>
  <c r="J10" i="7"/>
  <c r="J11" i="7"/>
  <c r="G5" i="7"/>
  <c r="I4" i="7"/>
  <c r="I5" i="7"/>
  <c r="I6" i="7"/>
  <c r="I7" i="7"/>
  <c r="I8" i="7"/>
  <c r="I9" i="7"/>
  <c r="I10" i="7"/>
  <c r="I11" i="7"/>
  <c r="H5" i="7"/>
  <c r="H6" i="7"/>
  <c r="H7" i="7"/>
  <c r="H8" i="7"/>
  <c r="H9" i="7"/>
  <c r="H10" i="7"/>
  <c r="H11" i="7"/>
  <c r="H4" i="7"/>
  <c r="G6" i="7"/>
  <c r="G7" i="7"/>
  <c r="G8" i="7"/>
  <c r="G9" i="7"/>
  <c r="G10" i="7"/>
  <c r="G11" i="7"/>
  <c r="G4" i="7"/>
  <c r="E4" i="7"/>
  <c r="E5" i="7"/>
  <c r="E6" i="7"/>
  <c r="E7" i="7"/>
  <c r="E8" i="7"/>
  <c r="E9" i="7"/>
  <c r="E10" i="7"/>
  <c r="E11" i="7"/>
  <c r="D5" i="7"/>
  <c r="D6" i="7"/>
  <c r="D7" i="7"/>
  <c r="D8" i="7"/>
  <c r="D9" i="7"/>
  <c r="D10" i="7"/>
  <c r="D11" i="7"/>
  <c r="D4" i="7"/>
  <c r="R7" i="2" l="1"/>
  <c r="E75" i="5" l="1"/>
  <c r="F65" i="5" l="1"/>
  <c r="H65" i="5"/>
  <c r="F66" i="5"/>
  <c r="F67" i="5"/>
  <c r="F68" i="5"/>
  <c r="F69" i="5"/>
  <c r="F70" i="5"/>
  <c r="F71" i="5"/>
  <c r="F72" i="5"/>
  <c r="D76" i="5"/>
  <c r="R12" i="2" l="1"/>
  <c r="R8" i="2"/>
  <c r="R9" i="2"/>
  <c r="R10" i="2"/>
  <c r="R11" i="2"/>
  <c r="R13" i="2"/>
  <c r="R14" i="2"/>
  <c r="E13" i="2" l="1"/>
  <c r="D13" i="2" l="1"/>
  <c r="J13" i="2"/>
  <c r="I13" i="2"/>
  <c r="G65" i="5" l="1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D74" i="5"/>
  <c r="D75" i="5"/>
  <c r="D6" i="2" l="1"/>
  <c r="E6" i="2"/>
  <c r="J6" i="2"/>
  <c r="I6" i="2"/>
  <c r="E7" i="2"/>
  <c r="D7" i="2"/>
  <c r="I7" i="2"/>
  <c r="J7" i="2"/>
  <c r="E8" i="2"/>
  <c r="I8" i="2"/>
  <c r="D8" i="2"/>
  <c r="J8" i="2"/>
  <c r="D9" i="2"/>
  <c r="I9" i="2"/>
  <c r="J9" i="2"/>
  <c r="E9" i="2"/>
  <c r="J10" i="2"/>
  <c r="I10" i="2"/>
  <c r="E10" i="2"/>
  <c r="D10" i="2"/>
  <c r="D11" i="2"/>
  <c r="I11" i="2"/>
  <c r="J11" i="2"/>
  <c r="E11" i="2"/>
  <c r="J12" i="2"/>
  <c r="D12" i="2"/>
  <c r="E12" i="2"/>
  <c r="I12" i="2"/>
  <c r="F6" i="2"/>
  <c r="H6" i="2" s="1"/>
  <c r="F11" i="2"/>
  <c r="H11" i="2" s="1"/>
  <c r="G11" i="2"/>
  <c r="F12" i="2"/>
  <c r="H12" i="2" s="1"/>
  <c r="G12" i="2"/>
  <c r="G6" i="2"/>
  <c r="F7" i="2"/>
  <c r="H7" i="2"/>
  <c r="G7" i="2"/>
  <c r="G8" i="2"/>
  <c r="F8" i="2"/>
  <c r="H8" i="2" s="1"/>
  <c r="F9" i="2"/>
  <c r="H9" i="2" s="1"/>
  <c r="G9" i="2"/>
  <c r="G10" i="2"/>
  <c r="F10" i="2"/>
  <c r="H10" i="2" s="1"/>
</calcChain>
</file>

<file path=xl/sharedStrings.xml><?xml version="1.0" encoding="utf-8"?>
<sst xmlns="http://schemas.openxmlformats.org/spreadsheetml/2006/main" count="237" uniqueCount="73">
  <si>
    <t>Ashish</t>
  </si>
  <si>
    <t>IF</t>
  </si>
  <si>
    <t>AND</t>
  </si>
  <si>
    <t>OR</t>
  </si>
  <si>
    <t>NOT</t>
  </si>
  <si>
    <t>Name</t>
  </si>
  <si>
    <t>Age</t>
  </si>
  <si>
    <t>Manish</t>
  </si>
  <si>
    <t>Mani</t>
  </si>
  <si>
    <t>Mahesh</t>
  </si>
  <si>
    <t>Abhi</t>
  </si>
  <si>
    <t>Anubhav</t>
  </si>
  <si>
    <t>Pranav</t>
  </si>
  <si>
    <t>Anshul</t>
  </si>
  <si>
    <t>Manish Kumar</t>
  </si>
  <si>
    <t>Mani Jha</t>
  </si>
  <si>
    <t>Abhi Bajpai</t>
  </si>
  <si>
    <t>Anubhav Singh</t>
  </si>
  <si>
    <t>Pranav Singh</t>
  </si>
  <si>
    <t>Anshul Srivastava</t>
  </si>
  <si>
    <t>First Name</t>
  </si>
  <si>
    <t>Last Name</t>
  </si>
  <si>
    <t>Jha</t>
  </si>
  <si>
    <t>Remove Duplicate | All Columns</t>
  </si>
  <si>
    <t>Remove Duplicate | Single Column</t>
  </si>
  <si>
    <t>Mani Ram</t>
  </si>
  <si>
    <t>Handling Missing Data | Filters in Data</t>
  </si>
  <si>
    <t>IsBlank last_name</t>
  </si>
  <si>
    <t>Processed last_name</t>
  </si>
  <si>
    <t>Processed age</t>
  </si>
  <si>
    <t>Salary</t>
  </si>
  <si>
    <t>Average</t>
  </si>
  <si>
    <t>Sum</t>
  </si>
  <si>
    <t>Round(Average)</t>
  </si>
  <si>
    <t xml:space="preserve">Fill Average </t>
  </si>
  <si>
    <t>Fill Round Average</t>
  </si>
  <si>
    <t>if(isblank)</t>
  </si>
  <si>
    <t>New Salary</t>
  </si>
  <si>
    <t>substitute</t>
  </si>
  <si>
    <t>Fill Missing Values</t>
  </si>
  <si>
    <t>Work Exp.</t>
  </si>
  <si>
    <t>IsNumeric</t>
  </si>
  <si>
    <t>ninty</t>
  </si>
  <si>
    <t>-</t>
  </si>
  <si>
    <t>Final Eligibility</t>
  </si>
  <si>
    <t>IsNumber</t>
  </si>
  <si>
    <t>Harsh</t>
  </si>
  <si>
    <t>Harsh Singh</t>
  </si>
  <si>
    <t>Singh</t>
  </si>
  <si>
    <t>Kumar</t>
  </si>
  <si>
    <t>Ram</t>
  </si>
  <si>
    <t>Bajpai</t>
  </si>
  <si>
    <t>Srivastava</t>
  </si>
  <si>
    <t>Fixed Age</t>
  </si>
  <si>
    <t>AND()</t>
  </si>
  <si>
    <t>OR()</t>
  </si>
  <si>
    <t>Eligible, Minor, Not Valid, Not a number</t>
  </si>
  <si>
    <t>Fixed Last Name</t>
  </si>
  <si>
    <t>EL/NE</t>
  </si>
  <si>
    <t>Not a Number, EL, NE</t>
  </si>
  <si>
    <t>FIXED AGE</t>
  </si>
  <si>
    <t>EL/Minor/Invalid</t>
  </si>
  <si>
    <t>ONLY USE If &amp; AND</t>
  </si>
  <si>
    <t>USE IF, OR, AND</t>
  </si>
  <si>
    <t>EL/Minor/Invalid/Not a Number</t>
  </si>
  <si>
    <t xml:space="preserve">0-10 -&gt; Child
11-19 -&gt; Teenager
20-59-&gt; Adult
60-100 -&gt; Senior Citizen
ELSE IS INVALID
</t>
  </si>
  <si>
    <t>5 Statement</t>
  </si>
  <si>
    <t>NAN/EL/NE</t>
  </si>
  <si>
    <t>#el -&gt; 18-100</t>
  </si>
  <si>
    <t>USE IF &amp; AND</t>
  </si>
  <si>
    <t>USE IF &amp; AND &amp; OR</t>
  </si>
  <si>
    <t>5 Conditions</t>
  </si>
  <si>
    <t>0-10 -&gt; Child
11-19 -&gt; Teenager
20-59-&gt; Adult
60-100 -&gt; Senior Citizen
ELSE IS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</si>
</sst>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3" fontId="0" fillId="0" borderId="1" xfId="0" applyNumberFormat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6" xfId="0" applyFill="1" applyBorder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R15"/>
  <sheetViews>
    <sheetView zoomScale="116" workbookViewId="0">
      <selection activeCell="F16" sqref="F16"/>
    </sheetView>
  </sheetViews>
  <sheetFormatPr defaultColWidth="11" defaultRowHeight="15.6" x14ac:dyDescent="0.3"/>
  <cols>
    <col min="1" max="1" width="9.59765625" customWidth="1"/>
    <col min="5" max="5" width="12.59765625" customWidth="1"/>
    <col min="6" max="6" width="9.09765625" customWidth="1"/>
    <col min="7" max="7" width="9.3984375" customWidth="1"/>
    <col min="8" max="8" width="9.59765625" customWidth="1"/>
    <col min="9" max="9" width="18.59765625" customWidth="1"/>
    <col min="18" max="18" width="51.59765625" customWidth="1"/>
  </cols>
  <sheetData>
    <row r="5" spans="2:18" x14ac:dyDescent="0.3">
      <c r="B5" s="4" t="s">
        <v>5</v>
      </c>
      <c r="C5" s="4" t="s">
        <v>6</v>
      </c>
      <c r="D5" s="4" t="s">
        <v>1</v>
      </c>
      <c r="E5" s="4" t="s">
        <v>41</v>
      </c>
      <c r="F5" s="4" t="s">
        <v>2</v>
      </c>
      <c r="G5" s="4" t="s">
        <v>3</v>
      </c>
      <c r="H5" s="4" t="s">
        <v>4</v>
      </c>
      <c r="I5" s="6" t="s">
        <v>44</v>
      </c>
      <c r="J5" s="6" t="s">
        <v>45</v>
      </c>
    </row>
    <row r="6" spans="2:18" x14ac:dyDescent="0.3">
      <c r="B6" s="1" t="s">
        <v>46</v>
      </c>
      <c r="C6" s="1">
        <v>25</v>
      </c>
      <c r="D6" s="1" t="str">
        <f>IF(C6&gt;=18,"Eligible","Not Eligible")</f>
        <v>Eligible</v>
      </c>
      <c r="E6" s="1" t="str">
        <f>IF(ISNUMBER(C6), IF(C6&gt;=18, "Eligible", "Not Eligible"), "Invalid Age")</f>
        <v>Eligible</v>
      </c>
      <c r="F6" s="1" t="b">
        <f t="shared" ref="F6:F12" si="0">AND(C6&gt;0, C6&lt;110)</f>
        <v>1</v>
      </c>
      <c r="G6" s="1" t="b">
        <f t="shared" ref="G6:G12" si="1">OR(C6&gt;0, C6&lt;110)</f>
        <v>1</v>
      </c>
      <c r="H6" s="1" t="b">
        <f>NOT(F6=TRUE)</f>
        <v>0</v>
      </c>
      <c r="I6" s="1" t="str">
        <f>IF(ISNUMBER(C6), IF(AND(C6&gt;=18, C6&lt;=120), "Eligible", "Not Eligible"), "Invalid Age")</f>
        <v>Eligible</v>
      </c>
      <c r="J6" t="b">
        <f>ISNUMBER(C6)</f>
        <v>1</v>
      </c>
    </row>
    <row r="7" spans="2:18" x14ac:dyDescent="0.3">
      <c r="B7" s="1" t="s">
        <v>7</v>
      </c>
      <c r="C7" s="1">
        <v>14</v>
      </c>
      <c r="D7" s="1" t="str">
        <f t="shared" ref="D7:D13" si="2">IF(C7&gt;=18,"Eligible","Not Eligible")</f>
        <v>Not Eligible</v>
      </c>
      <c r="E7" s="1" t="str">
        <f t="shared" ref="E7:E13" si="3">IF(ISNUMBER(C7), IF(C7&gt;=18, "Eligible", "Not Eligible"), "Invalid Age")</f>
        <v>Not Eligible</v>
      </c>
      <c r="F7" s="1" t="b">
        <f t="shared" si="0"/>
        <v>1</v>
      </c>
      <c r="G7" s="1" t="b">
        <f t="shared" si="1"/>
        <v>1</v>
      </c>
      <c r="H7" s="1" t="b">
        <f t="shared" ref="H7:H12" si="4">NOT(F7=TRUE)</f>
        <v>0</v>
      </c>
      <c r="I7" s="1" t="str">
        <f t="shared" ref="I7:I13" si="5">IF(ISNUMBER(C7), IF(AND(C7&gt;=18, C7&lt;=120), "Eligible", "Not Eligible"), "Invalid Age")</f>
        <v>Not Eligible</v>
      </c>
      <c r="J7" t="b">
        <f t="shared" ref="J7:J13" si="6">ISNUMBER(C7)</f>
        <v>1</v>
      </c>
      <c r="Q7" s="1">
        <v>25</v>
      </c>
      <c r="R7" s="1" t="str">
        <f>IF(ISNUMBER(Q7),IF(OR(Q7&gt;100,Q7&lt;0),"Not Valid",IF(AND(Q7&gt;=0,Q7&lt;18),"Not Eligible","Eligible")),"NAN")</f>
        <v>Eligible</v>
      </c>
    </row>
    <row r="8" spans="2:18" x14ac:dyDescent="0.3">
      <c r="B8" s="1" t="s">
        <v>8</v>
      </c>
      <c r="C8" s="1">
        <v>18</v>
      </c>
      <c r="D8" s="1" t="str">
        <f t="shared" si="2"/>
        <v>Eligible</v>
      </c>
      <c r="E8" s="1" t="str">
        <f t="shared" si="3"/>
        <v>Eligible</v>
      </c>
      <c r="F8" s="1" t="b">
        <f t="shared" si="0"/>
        <v>1</v>
      </c>
      <c r="G8" s="1" t="b">
        <f t="shared" si="1"/>
        <v>1</v>
      </c>
      <c r="H8" s="1" t="b">
        <f t="shared" si="4"/>
        <v>0</v>
      </c>
      <c r="I8" s="1" t="str">
        <f t="shared" si="5"/>
        <v>Eligible</v>
      </c>
      <c r="J8" t="b">
        <f t="shared" si="6"/>
        <v>1</v>
      </c>
      <c r="Q8" s="1">
        <v>14</v>
      </c>
      <c r="R8" s="1" t="str">
        <f t="shared" ref="R8:R14" si="7">IF(ISNUMBER(Q8),IF(OR(Q8&gt;100,Q8&lt;0),"Not Valid",IF(AND(Q8&gt;=0,Q8&lt;18),"Not Eligible","Eligible")),"NAN")</f>
        <v>Not Eligible</v>
      </c>
    </row>
    <row r="9" spans="2:18" x14ac:dyDescent="0.3">
      <c r="B9" s="1" t="s">
        <v>9</v>
      </c>
      <c r="C9" s="1">
        <v>17</v>
      </c>
      <c r="D9" s="1" t="str">
        <f t="shared" si="2"/>
        <v>Not Eligible</v>
      </c>
      <c r="E9" s="1" t="str">
        <f t="shared" si="3"/>
        <v>Not Eligible</v>
      </c>
      <c r="F9" s="1" t="b">
        <f t="shared" si="0"/>
        <v>1</v>
      </c>
      <c r="G9" s="1" t="b">
        <f t="shared" si="1"/>
        <v>1</v>
      </c>
      <c r="H9" s="1" t="b">
        <f t="shared" si="4"/>
        <v>0</v>
      </c>
      <c r="I9" s="1" t="str">
        <f t="shared" si="5"/>
        <v>Not Eligible</v>
      </c>
      <c r="J9" t="b">
        <f t="shared" si="6"/>
        <v>1</v>
      </c>
      <c r="Q9" s="1">
        <v>18</v>
      </c>
      <c r="R9" s="1" t="str">
        <f t="shared" si="7"/>
        <v>Eligible</v>
      </c>
    </row>
    <row r="10" spans="2:18" x14ac:dyDescent="0.3">
      <c r="B10" s="1" t="s">
        <v>10</v>
      </c>
      <c r="C10" s="1">
        <v>16</v>
      </c>
      <c r="D10" s="1" t="str">
        <f t="shared" si="2"/>
        <v>Not Eligible</v>
      </c>
      <c r="E10" s="1" t="str">
        <f t="shared" si="3"/>
        <v>Not Eligible</v>
      </c>
      <c r="F10" s="1" t="b">
        <f t="shared" si="0"/>
        <v>1</v>
      </c>
      <c r="G10" s="1" t="b">
        <f t="shared" si="1"/>
        <v>1</v>
      </c>
      <c r="H10" s="1" t="b">
        <f t="shared" si="4"/>
        <v>0</v>
      </c>
      <c r="I10" s="1" t="str">
        <f t="shared" si="5"/>
        <v>Not Eligible</v>
      </c>
      <c r="J10" t="b">
        <f t="shared" si="6"/>
        <v>1</v>
      </c>
      <c r="Q10" s="1">
        <v>17</v>
      </c>
      <c r="R10" s="1" t="str">
        <f t="shared" si="7"/>
        <v>Not Eligible</v>
      </c>
    </row>
    <row r="11" spans="2:18" x14ac:dyDescent="0.3">
      <c r="B11" s="1" t="s">
        <v>11</v>
      </c>
      <c r="C11" s="1">
        <v>22</v>
      </c>
      <c r="D11" s="1" t="str">
        <f t="shared" si="2"/>
        <v>Eligible</v>
      </c>
      <c r="E11" s="1" t="str">
        <f t="shared" si="3"/>
        <v>Eligible</v>
      </c>
      <c r="F11" s="1" t="b">
        <f t="shared" si="0"/>
        <v>1</v>
      </c>
      <c r="G11" s="1" t="b">
        <f t="shared" si="1"/>
        <v>1</v>
      </c>
      <c r="H11" s="1" t="b">
        <f t="shared" si="4"/>
        <v>0</v>
      </c>
      <c r="I11" s="1" t="str">
        <f t="shared" si="5"/>
        <v>Eligible</v>
      </c>
      <c r="J11" t="b">
        <f t="shared" si="6"/>
        <v>1</v>
      </c>
      <c r="Q11" s="1">
        <v>16</v>
      </c>
      <c r="R11" s="1" t="str">
        <f t="shared" si="7"/>
        <v>Not Eligible</v>
      </c>
    </row>
    <row r="12" spans="2:18" x14ac:dyDescent="0.3">
      <c r="B12" s="1" t="s">
        <v>12</v>
      </c>
      <c r="C12" s="1">
        <v>130</v>
      </c>
      <c r="D12" s="1" t="str">
        <f t="shared" si="2"/>
        <v>Eligible</v>
      </c>
      <c r="E12" s="1" t="str">
        <f t="shared" si="3"/>
        <v>Eligible</v>
      </c>
      <c r="F12" s="1" t="b">
        <f t="shared" si="0"/>
        <v>0</v>
      </c>
      <c r="G12" s="1" t="b">
        <f t="shared" si="1"/>
        <v>1</v>
      </c>
      <c r="H12" s="1" t="b">
        <f t="shared" si="4"/>
        <v>1</v>
      </c>
      <c r="I12" s="1" t="str">
        <f t="shared" si="5"/>
        <v>Not Eligible</v>
      </c>
      <c r="J12" t="b">
        <f t="shared" si="6"/>
        <v>1</v>
      </c>
      <c r="Q12" s="1">
        <v>22</v>
      </c>
      <c r="R12" s="1" t="str">
        <f>IF(ISNUMBER(Q12),IF(OR(Q12&gt;100,Q12&lt;0),"Not YValid",IF(AND(Q12&gt;=0,Q12&lt;18),"Not Eligible","Eligible")),"NAN")</f>
        <v>Eligible</v>
      </c>
    </row>
    <row r="13" spans="2:18" x14ac:dyDescent="0.3">
      <c r="B13" s="1" t="s">
        <v>13</v>
      </c>
      <c r="C13" s="1" t="s">
        <v>42</v>
      </c>
      <c r="D13" s="1" t="str">
        <f t="shared" si="2"/>
        <v>Eligible</v>
      </c>
      <c r="E13" s="1" t="str">
        <f t="shared" si="3"/>
        <v>Invalid Age</v>
      </c>
      <c r="F13" s="1" t="s">
        <v>43</v>
      </c>
      <c r="G13" s="1" t="s">
        <v>43</v>
      </c>
      <c r="H13" s="1" t="s">
        <v>43</v>
      </c>
      <c r="I13" s="1" t="str">
        <f t="shared" si="5"/>
        <v>Invalid Age</v>
      </c>
      <c r="J13" t="b">
        <f t="shared" si="6"/>
        <v>0</v>
      </c>
      <c r="Q13" s="1">
        <v>130</v>
      </c>
      <c r="R13" s="1" t="str">
        <f t="shared" si="7"/>
        <v>Not Valid</v>
      </c>
    </row>
    <row r="14" spans="2:18" x14ac:dyDescent="0.3">
      <c r="Q14" s="1" t="s">
        <v>42</v>
      </c>
      <c r="R14" s="1" t="str">
        <f t="shared" si="7"/>
        <v>NAN</v>
      </c>
    </row>
    <row r="15" spans="2:18" x14ac:dyDescent="0.3">
      <c r="R15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"/>
  <sheetViews>
    <sheetView topLeftCell="I1" zoomScale="171" workbookViewId="0">
      <selection activeCell="L12" sqref="L12"/>
    </sheetView>
  </sheetViews>
  <sheetFormatPr defaultRowHeight="15.6" x14ac:dyDescent="0.3"/>
  <cols>
    <col min="5" max="5" width="19.09765625" bestFit="1" customWidth="1"/>
    <col min="6" max="6" width="9.5" bestFit="1" customWidth="1"/>
    <col min="9" max="9" width="16.796875" bestFit="1" customWidth="1"/>
    <col min="10" max="10" width="15.09765625" bestFit="1" customWidth="1"/>
    <col min="11" max="11" width="30.296875" customWidth="1"/>
    <col min="12" max="12" width="25" customWidth="1"/>
  </cols>
  <sheetData>
    <row r="2" spans="2:12" x14ac:dyDescent="0.3">
      <c r="I2" t="s">
        <v>62</v>
      </c>
      <c r="J2" t="s">
        <v>63</v>
      </c>
    </row>
    <row r="3" spans="2:12" x14ac:dyDescent="0.3">
      <c r="B3" s="4" t="s">
        <v>5</v>
      </c>
      <c r="C3" s="4" t="s">
        <v>6</v>
      </c>
      <c r="D3" s="4" t="s">
        <v>58</v>
      </c>
      <c r="E3" s="4" t="s">
        <v>59</v>
      </c>
      <c r="F3" s="4" t="s">
        <v>60</v>
      </c>
      <c r="G3" s="4" t="s">
        <v>54</v>
      </c>
      <c r="H3" s="4" t="s">
        <v>55</v>
      </c>
      <c r="I3" s="4" t="s">
        <v>61</v>
      </c>
      <c r="J3" s="4" t="s">
        <v>61</v>
      </c>
      <c r="K3" s="4" t="s">
        <v>64</v>
      </c>
      <c r="L3" s="4" t="s">
        <v>66</v>
      </c>
    </row>
    <row r="4" spans="2:12" x14ac:dyDescent="0.3">
      <c r="B4" s="1" t="s">
        <v>46</v>
      </c>
      <c r="C4" s="1">
        <v>25</v>
      </c>
      <c r="D4" t="str">
        <f>IF(C4&gt;=18,"EL","NE")</f>
        <v>EL</v>
      </c>
      <c r="E4" t="str">
        <f>IF(ISNUMBER(C4),IF(C4&gt;=18,"EL","NE"),"NAN")</f>
        <v>EL</v>
      </c>
      <c r="F4" s="1">
        <v>25</v>
      </c>
      <c r="G4" t="b">
        <f>AND(C4&gt;=18,C4&lt;=100)</f>
        <v>1</v>
      </c>
      <c r="H4" t="b">
        <f>OR(C4&lt;0,C4&gt;100)</f>
        <v>0</v>
      </c>
      <c r="I4" t="str">
        <f>IF(AND(F4&gt;=18,F4&lt;=100),"EL",IF(AND(F4&gt;=0,F4&lt;18),"Minor","invalid"))</f>
        <v>EL</v>
      </c>
      <c r="J4" t="str">
        <f>IF(OR(F4&lt;0,F4&gt;100),"Invalid",IF(AND(F4&gt;=18,F4&lt;=100),"El","Minor"))</f>
        <v>El</v>
      </c>
      <c r="K4" t="str">
        <f>IF(ISNUMBER(C4),IF(AND(C4&gt;=18,C4&lt;=100),"EL",IF(AND(C4&gt;=0,C4&lt;18),"Minor","Invalid")),"Not a Num")</f>
        <v>EL</v>
      </c>
      <c r="L4" t="str">
        <f>IF(OR(F4&lt;0,F4&gt;100),"Invalid",IF(AND(F4&gt;=0,F4&lt;=10),"Child",IF(AND(F4&gt;=11,F4&lt;=19),"Teen",IF(AND(F4&gt;=20,F4&lt;=59),"Adult","Senior"))))</f>
        <v>Adult</v>
      </c>
    </row>
    <row r="5" spans="2:12" x14ac:dyDescent="0.3">
      <c r="B5" s="1" t="s">
        <v>7</v>
      </c>
      <c r="C5" s="1">
        <v>14</v>
      </c>
      <c r="D5" t="str">
        <f t="shared" ref="D5:D11" si="0">IF(C5&gt;=18,"EL","NE")</f>
        <v>NE</v>
      </c>
      <c r="E5" t="str">
        <f t="shared" ref="E5:E11" si="1">IF(ISNUMBER(C5),IF(C5&gt;=18,"EL","NE"),"NAN")</f>
        <v>NE</v>
      </c>
      <c r="F5" s="1">
        <v>17</v>
      </c>
      <c r="G5" t="b">
        <f t="shared" ref="G5:G11" si="2">AND(C5&gt;=18,C5&lt;=100)</f>
        <v>0</v>
      </c>
      <c r="H5" t="b">
        <f t="shared" ref="H5:H11" si="3">OR(C5&lt;0,C5&gt;100)</f>
        <v>0</v>
      </c>
      <c r="I5" t="str">
        <f t="shared" ref="I5:I11" si="4">IF(AND(F5&gt;=18,F5&lt;=100),"EL",IF(AND(F5&gt;=0,F5&lt;18),"Minor","invalid"))</f>
        <v>Minor</v>
      </c>
      <c r="J5" t="str">
        <f t="shared" ref="J5:J11" si="5">IF(OR(F5&lt;0,F5&gt;100),"Invalid",IF(AND(F5&gt;=18,F5&lt;=100),"El","Minor"))</f>
        <v>Minor</v>
      </c>
      <c r="K5" t="str">
        <f t="shared" ref="K5:K11" si="6">IF(ISNUMBER(C5),IF(AND(C5&gt;=18,C5&lt;=100),"EL",IF(AND(C5&gt;=0,C5&lt;18),"Minor","Invalid")),"Not a Num")</f>
        <v>Minor</v>
      </c>
      <c r="L5" t="str">
        <f t="shared" ref="L5:L11" si="7">IF(OR(F5&lt;0,F5&gt;100),"Invalid",IF(AND(F5&gt;=0,F5&lt;=10),"Child",IF(AND(F5&gt;=11,F5&lt;=19),"Teen",IF(AND(F5&gt;=20,F5&lt;=59),"Adult","Senior"))))</f>
        <v>Teen</v>
      </c>
    </row>
    <row r="6" spans="2:12" x14ac:dyDescent="0.3">
      <c r="B6" s="1" t="s">
        <v>8</v>
      </c>
      <c r="C6" s="1">
        <v>18</v>
      </c>
      <c r="D6" t="str">
        <f t="shared" si="0"/>
        <v>EL</v>
      </c>
      <c r="E6" t="str">
        <f t="shared" si="1"/>
        <v>EL</v>
      </c>
      <c r="F6" s="1">
        <v>18</v>
      </c>
      <c r="G6" t="b">
        <f t="shared" si="2"/>
        <v>1</v>
      </c>
      <c r="H6" t="b">
        <f t="shared" si="3"/>
        <v>0</v>
      </c>
      <c r="I6" t="str">
        <f t="shared" si="4"/>
        <v>EL</v>
      </c>
      <c r="J6" t="str">
        <f t="shared" si="5"/>
        <v>El</v>
      </c>
      <c r="K6" t="str">
        <f t="shared" si="6"/>
        <v>EL</v>
      </c>
      <c r="L6" t="str">
        <f t="shared" si="7"/>
        <v>Teen</v>
      </c>
    </row>
    <row r="7" spans="2:12" x14ac:dyDescent="0.3">
      <c r="B7" s="1" t="s">
        <v>9</v>
      </c>
      <c r="C7" s="1">
        <v>17</v>
      </c>
      <c r="D7" t="str">
        <f t="shared" si="0"/>
        <v>NE</v>
      </c>
      <c r="E7" t="str">
        <f t="shared" si="1"/>
        <v>NE</v>
      </c>
      <c r="F7" s="1">
        <v>17</v>
      </c>
      <c r="G7" t="b">
        <f t="shared" si="2"/>
        <v>0</v>
      </c>
      <c r="H7" t="b">
        <f t="shared" si="3"/>
        <v>0</v>
      </c>
      <c r="I7" t="str">
        <f t="shared" si="4"/>
        <v>Minor</v>
      </c>
      <c r="J7" t="str">
        <f t="shared" si="5"/>
        <v>Minor</v>
      </c>
      <c r="K7" t="str">
        <f t="shared" si="6"/>
        <v>Minor</v>
      </c>
      <c r="L7" t="str">
        <f t="shared" si="7"/>
        <v>Teen</v>
      </c>
    </row>
    <row r="8" spans="2:12" x14ac:dyDescent="0.3">
      <c r="B8" s="1" t="s">
        <v>10</v>
      </c>
      <c r="C8" s="1">
        <v>16</v>
      </c>
      <c r="D8" t="str">
        <f t="shared" si="0"/>
        <v>NE</v>
      </c>
      <c r="E8" t="str">
        <f t="shared" si="1"/>
        <v>NE</v>
      </c>
      <c r="F8" s="1">
        <v>16</v>
      </c>
      <c r="G8" t="b">
        <f t="shared" si="2"/>
        <v>0</v>
      </c>
      <c r="H8" t="b">
        <f t="shared" si="3"/>
        <v>0</v>
      </c>
      <c r="I8" t="str">
        <f t="shared" si="4"/>
        <v>Minor</v>
      </c>
      <c r="J8" t="str">
        <f t="shared" si="5"/>
        <v>Minor</v>
      </c>
      <c r="K8" t="str">
        <f t="shared" si="6"/>
        <v>Minor</v>
      </c>
      <c r="L8" t="str">
        <f t="shared" si="7"/>
        <v>Teen</v>
      </c>
    </row>
    <row r="9" spans="2:12" x14ac:dyDescent="0.3">
      <c r="B9" s="1" t="s">
        <v>11</v>
      </c>
      <c r="C9" s="1">
        <v>22</v>
      </c>
      <c r="D9" t="str">
        <f t="shared" si="0"/>
        <v>EL</v>
      </c>
      <c r="E9" t="str">
        <f t="shared" si="1"/>
        <v>EL</v>
      </c>
      <c r="F9" s="1">
        <v>22</v>
      </c>
      <c r="G9" t="b">
        <f t="shared" si="2"/>
        <v>1</v>
      </c>
      <c r="H9" t="b">
        <f t="shared" si="3"/>
        <v>0</v>
      </c>
      <c r="I9" t="str">
        <f t="shared" si="4"/>
        <v>EL</v>
      </c>
      <c r="J9" t="str">
        <f t="shared" si="5"/>
        <v>El</v>
      </c>
      <c r="K9" t="str">
        <f>IF(ISNUMBER(C9),IF(AND(C9&gt;=18,C9&lt;=100),"EL",IF(AND(C9&gt;=0,C9&lt;18),"Minor","Invalid")),"Not a Num")</f>
        <v>EL</v>
      </c>
      <c r="L9" t="str">
        <f t="shared" si="7"/>
        <v>Adult</v>
      </c>
    </row>
    <row r="10" spans="2:12" x14ac:dyDescent="0.3">
      <c r="B10" s="1" t="s">
        <v>12</v>
      </c>
      <c r="C10" s="1">
        <v>130</v>
      </c>
      <c r="D10" t="str">
        <f t="shared" si="0"/>
        <v>EL</v>
      </c>
      <c r="E10" t="str">
        <f t="shared" si="1"/>
        <v>EL</v>
      </c>
      <c r="F10" s="1">
        <v>130</v>
      </c>
      <c r="G10" t="b">
        <f t="shared" si="2"/>
        <v>0</v>
      </c>
      <c r="H10" t="b">
        <f t="shared" si="3"/>
        <v>1</v>
      </c>
      <c r="I10" t="str">
        <f t="shared" si="4"/>
        <v>invalid</v>
      </c>
      <c r="J10" t="str">
        <f t="shared" si="5"/>
        <v>Invalid</v>
      </c>
      <c r="K10" t="str">
        <f t="shared" si="6"/>
        <v>Invalid</v>
      </c>
      <c r="L10" t="str">
        <f t="shared" si="7"/>
        <v>Invalid</v>
      </c>
    </row>
    <row r="11" spans="2:12" x14ac:dyDescent="0.3">
      <c r="B11" s="1" t="s">
        <v>13</v>
      </c>
      <c r="C11" s="1" t="s">
        <v>42</v>
      </c>
      <c r="D11" t="str">
        <f t="shared" si="0"/>
        <v>EL</v>
      </c>
      <c r="E11" t="str">
        <f t="shared" si="1"/>
        <v>NAN</v>
      </c>
      <c r="F11" s="8">
        <v>34</v>
      </c>
      <c r="G11" t="b">
        <f t="shared" si="2"/>
        <v>0</v>
      </c>
      <c r="H11" t="b">
        <f t="shared" si="3"/>
        <v>1</v>
      </c>
      <c r="I11" t="str">
        <f t="shared" si="4"/>
        <v>EL</v>
      </c>
      <c r="J11" t="str">
        <f t="shared" si="5"/>
        <v>El</v>
      </c>
      <c r="K11" t="str">
        <f t="shared" si="6"/>
        <v>Not a Num</v>
      </c>
      <c r="L11" t="str">
        <f t="shared" si="7"/>
        <v>Adult</v>
      </c>
    </row>
    <row r="12" spans="2:12" ht="93.6" x14ac:dyDescent="0.3">
      <c r="L12" s="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"/>
  <sheetViews>
    <sheetView tabSelected="1" topLeftCell="H1" zoomScale="159" workbookViewId="0">
      <selection activeCell="J5" sqref="J5"/>
    </sheetView>
  </sheetViews>
  <sheetFormatPr defaultRowHeight="15.6" x14ac:dyDescent="0.3"/>
  <cols>
    <col min="5" max="5" width="10.3984375" bestFit="1" customWidth="1"/>
    <col min="8" max="8" width="15.09765625" bestFit="1" customWidth="1"/>
    <col min="9" max="9" width="17.09765625" bestFit="1" customWidth="1"/>
    <col min="10" max="10" width="17.09765625" customWidth="1"/>
    <col min="11" max="11" width="28.09765625" bestFit="1" customWidth="1"/>
    <col min="12" max="12" width="27.19921875" customWidth="1"/>
  </cols>
  <sheetData>
    <row r="1" spans="2:12" x14ac:dyDescent="0.3">
      <c r="H1" t="s">
        <v>69</v>
      </c>
      <c r="I1" t="s">
        <v>70</v>
      </c>
    </row>
    <row r="2" spans="2:12" x14ac:dyDescent="0.3">
      <c r="B2" s="4" t="s">
        <v>5</v>
      </c>
      <c r="C2" s="4" t="s">
        <v>6</v>
      </c>
      <c r="D2" s="4" t="s">
        <v>58</v>
      </c>
      <c r="E2" s="7" t="s">
        <v>67</v>
      </c>
      <c r="F2" s="7" t="s">
        <v>54</v>
      </c>
      <c r="G2" s="7" t="s">
        <v>55</v>
      </c>
      <c r="H2" s="7" t="s">
        <v>61</v>
      </c>
      <c r="I2" s="7" t="s">
        <v>61</v>
      </c>
      <c r="J2" s="7" t="s">
        <v>6</v>
      </c>
      <c r="K2" s="4" t="s">
        <v>64</v>
      </c>
      <c r="L2" s="4" t="s">
        <v>71</v>
      </c>
    </row>
    <row r="3" spans="2:12" x14ac:dyDescent="0.3">
      <c r="B3" s="1" t="s">
        <v>46</v>
      </c>
      <c r="C3" s="1">
        <v>25</v>
      </c>
      <c r="D3" s="1" t="str">
        <f>IF(C3&gt;=18,"El","NE")</f>
        <v>El</v>
      </c>
      <c r="E3" s="1" t="str">
        <f>IF(ISNUMBER(C3),IF(C3&gt;=18,"EL","NE"),"NAN")</f>
        <v>EL</v>
      </c>
      <c r="F3" s="1" t="b">
        <f>AND(C3&gt;=0,C3&lt;=100)</f>
        <v>1</v>
      </c>
      <c r="G3" s="1" t="b">
        <f>OR(C3&lt;0,C3&gt;100)</f>
        <v>0</v>
      </c>
      <c r="H3" s="1" t="str">
        <f>IF(AND(C3&gt;=18,C3&lt;=100),"EL",IF(AND(C3&gt;=0,C3&lt;18),"Minor","Invalid"))</f>
        <v>EL</v>
      </c>
      <c r="I3" s="1" t="str">
        <f>IF(OR(C3&lt;0,C3&gt;100),"Invalid",IF(AND(C3&gt;=18,C3&lt;=100),"EL","Minor"))</f>
        <v>EL</v>
      </c>
      <c r="J3" s="1">
        <v>25</v>
      </c>
      <c r="K3" s="1" t="str">
        <f>IF(ISNUMBER(J3),IF(AND(J3&gt;=18,J3&lt;=100),"El",IF(AND(J3&gt;=0,J3&lt;18),"Minor","Invalid")),"NAN")</f>
        <v>El</v>
      </c>
      <c r="L3" s="1" t="str">
        <f>IF(OR(J3&gt;100,J3&lt;0),"Invalid",IF(AND(J3&gt;=0,J3&lt;=10),"Child",IF(AND(J3&gt;=11,J3&lt;=19),"Teen",IF(AND(J3&gt;=20,J3&lt;=59),"Adult","Senior citizen"))))</f>
        <v>Adult</v>
      </c>
    </row>
    <row r="4" spans="2:12" x14ac:dyDescent="0.3">
      <c r="B4" s="1" t="s">
        <v>7</v>
      </c>
      <c r="C4" s="1">
        <v>14</v>
      </c>
      <c r="D4" s="1" t="str">
        <f t="shared" ref="D4:D10" si="0">IF(C4&gt;=18,"El","NE")</f>
        <v>NE</v>
      </c>
      <c r="E4" s="1" t="str">
        <f t="shared" ref="E4:E10" si="1">IF(ISNUMBER(C4),IF(C4&gt;=18,"EL","NE"),"NAN")</f>
        <v>NE</v>
      </c>
      <c r="F4" s="1" t="b">
        <f t="shared" ref="F4:F10" si="2">AND(C4&gt;=0,C4&lt;=100)</f>
        <v>1</v>
      </c>
      <c r="G4" s="1" t="b">
        <f t="shared" ref="G4:G10" si="3">OR(C4&lt;0,C4&gt;100)</f>
        <v>0</v>
      </c>
      <c r="H4" s="1" t="str">
        <f t="shared" ref="H4:H10" si="4">IF(AND(C4&gt;=18,C4&lt;=100),"EL",IF(AND(C4&gt;=0,C4&lt;18),"Minor","Invalid"))</f>
        <v>Minor</v>
      </c>
      <c r="I4" s="1" t="str">
        <f t="shared" ref="I4:I10" si="5">IF(OR(C4&lt;0,C4&gt;100),"Invalid",IF(AND(C4&gt;=18,C4&lt;=100),"EL","Minor"))</f>
        <v>Minor</v>
      </c>
      <c r="J4" s="1">
        <v>14</v>
      </c>
      <c r="K4" s="1" t="str">
        <f t="shared" ref="K4:K11" si="6">IF(ISNUMBER(J4),IF(AND(J4&gt;=18,J4&lt;=100),"El",IF(AND(J4&gt;=0,J4&lt;18),"Minor","Invalid")),"NAN")</f>
        <v>Minor</v>
      </c>
      <c r="L4" s="1" t="str">
        <f t="shared" ref="L4:L10" si="7">IF(OR(J4&gt;100,J4&lt;0),"Invalid",IF(AND(J4&gt;=0,J4&lt;=10),"Child",IF(AND(J4&gt;=11,J4&lt;=19),"Teen",IF(AND(J4&gt;=20,J4&lt;=59),"Adult","Senior citizen"))))</f>
        <v>Teen</v>
      </c>
    </row>
    <row r="5" spans="2:12" x14ac:dyDescent="0.3">
      <c r="B5" s="1" t="s">
        <v>8</v>
      </c>
      <c r="C5" s="1">
        <v>18</v>
      </c>
      <c r="D5" s="1" t="str">
        <f t="shared" si="0"/>
        <v>El</v>
      </c>
      <c r="E5" s="1" t="str">
        <f t="shared" si="1"/>
        <v>EL</v>
      </c>
      <c r="F5" s="1" t="b">
        <f t="shared" si="2"/>
        <v>1</v>
      </c>
      <c r="G5" s="1" t="b">
        <f t="shared" si="3"/>
        <v>0</v>
      </c>
      <c r="H5" s="1" t="str">
        <f t="shared" si="4"/>
        <v>EL</v>
      </c>
      <c r="I5" s="1" t="str">
        <f t="shared" si="5"/>
        <v>EL</v>
      </c>
      <c r="J5" s="1">
        <v>18</v>
      </c>
      <c r="K5" s="1" t="str">
        <f t="shared" si="6"/>
        <v>El</v>
      </c>
      <c r="L5" s="1" t="str">
        <f t="shared" si="7"/>
        <v>Teen</v>
      </c>
    </row>
    <row r="6" spans="2:12" x14ac:dyDescent="0.3">
      <c r="B6" s="1" t="s">
        <v>9</v>
      </c>
      <c r="C6" s="1">
        <v>17</v>
      </c>
      <c r="D6" s="1" t="str">
        <f t="shared" si="0"/>
        <v>NE</v>
      </c>
      <c r="E6" s="1" t="str">
        <f t="shared" si="1"/>
        <v>NE</v>
      </c>
      <c r="F6" s="1" t="b">
        <f t="shared" si="2"/>
        <v>1</v>
      </c>
      <c r="G6" s="1" t="b">
        <f t="shared" si="3"/>
        <v>0</v>
      </c>
      <c r="H6" s="1" t="str">
        <f t="shared" si="4"/>
        <v>Minor</v>
      </c>
      <c r="I6" s="1" t="str">
        <f t="shared" si="5"/>
        <v>Minor</v>
      </c>
      <c r="J6" s="1">
        <v>17</v>
      </c>
      <c r="K6" s="1" t="str">
        <f t="shared" si="6"/>
        <v>Minor</v>
      </c>
      <c r="L6" s="1" t="str">
        <f t="shared" si="7"/>
        <v>Teen</v>
      </c>
    </row>
    <row r="7" spans="2:12" x14ac:dyDescent="0.3">
      <c r="B7" s="1" t="s">
        <v>10</v>
      </c>
      <c r="C7" s="1">
        <v>16</v>
      </c>
      <c r="D7" s="1" t="str">
        <f t="shared" si="0"/>
        <v>NE</v>
      </c>
      <c r="E7" s="1" t="str">
        <f t="shared" si="1"/>
        <v>NE</v>
      </c>
      <c r="F7" s="1" t="b">
        <f t="shared" si="2"/>
        <v>1</v>
      </c>
      <c r="G7" s="1" t="b">
        <f t="shared" si="3"/>
        <v>0</v>
      </c>
      <c r="H7" s="1" t="str">
        <f t="shared" si="4"/>
        <v>Minor</v>
      </c>
      <c r="I7" s="1" t="str">
        <f t="shared" si="5"/>
        <v>Minor</v>
      </c>
      <c r="J7" s="1">
        <v>16</v>
      </c>
      <c r="K7" s="1" t="str">
        <f t="shared" si="6"/>
        <v>Minor</v>
      </c>
      <c r="L7" s="1" t="str">
        <f t="shared" si="7"/>
        <v>Teen</v>
      </c>
    </row>
    <row r="8" spans="2:12" x14ac:dyDescent="0.3">
      <c r="B8" s="1" t="s">
        <v>11</v>
      </c>
      <c r="C8" s="1">
        <v>22</v>
      </c>
      <c r="D8" s="1" t="str">
        <f t="shared" si="0"/>
        <v>El</v>
      </c>
      <c r="E8" s="1" t="str">
        <f t="shared" si="1"/>
        <v>EL</v>
      </c>
      <c r="F8" s="1" t="b">
        <f t="shared" si="2"/>
        <v>1</v>
      </c>
      <c r="G8" s="1" t="b">
        <f t="shared" si="3"/>
        <v>0</v>
      </c>
      <c r="H8" s="1" t="str">
        <f t="shared" si="4"/>
        <v>EL</v>
      </c>
      <c r="I8" s="1" t="str">
        <f t="shared" si="5"/>
        <v>EL</v>
      </c>
      <c r="J8" s="1">
        <v>22</v>
      </c>
      <c r="K8" s="1" t="str">
        <f t="shared" si="6"/>
        <v>El</v>
      </c>
      <c r="L8" s="1" t="str">
        <f t="shared" si="7"/>
        <v>Adult</v>
      </c>
    </row>
    <row r="9" spans="2:12" x14ac:dyDescent="0.3">
      <c r="B9" s="1" t="s">
        <v>12</v>
      </c>
      <c r="C9" s="1">
        <v>130</v>
      </c>
      <c r="D9" s="1" t="str">
        <f t="shared" si="0"/>
        <v>El</v>
      </c>
      <c r="E9" s="1" t="str">
        <f t="shared" si="1"/>
        <v>EL</v>
      </c>
      <c r="F9" s="1" t="b">
        <f t="shared" si="2"/>
        <v>0</v>
      </c>
      <c r="G9" s="1" t="b">
        <f t="shared" si="3"/>
        <v>1</v>
      </c>
      <c r="H9" s="1" t="str">
        <f t="shared" si="4"/>
        <v>Invalid</v>
      </c>
      <c r="I9" s="1" t="str">
        <f t="shared" si="5"/>
        <v>Invalid</v>
      </c>
      <c r="J9" s="1">
        <v>130</v>
      </c>
      <c r="K9" s="1" t="str">
        <f t="shared" si="6"/>
        <v>Invalid</v>
      </c>
      <c r="L9" s="1" t="str">
        <f t="shared" si="7"/>
        <v>Invalid</v>
      </c>
    </row>
    <row r="10" spans="2:12" x14ac:dyDescent="0.3">
      <c r="B10" s="1" t="s">
        <v>13</v>
      </c>
      <c r="C10" s="1">
        <v>19</v>
      </c>
      <c r="D10" s="1" t="str">
        <f t="shared" si="0"/>
        <v>El</v>
      </c>
      <c r="E10" s="1" t="str">
        <f t="shared" si="1"/>
        <v>EL</v>
      </c>
      <c r="F10" s="1" t="b">
        <f t="shared" si="2"/>
        <v>1</v>
      </c>
      <c r="G10" s="1" t="b">
        <f t="shared" si="3"/>
        <v>0</v>
      </c>
      <c r="H10" s="1" t="str">
        <f t="shared" si="4"/>
        <v>EL</v>
      </c>
      <c r="I10" s="1" t="str">
        <f t="shared" si="5"/>
        <v>EL</v>
      </c>
      <c r="J10" s="1">
        <v>19</v>
      </c>
      <c r="K10" s="1" t="str">
        <f t="shared" si="6"/>
        <v>El</v>
      </c>
      <c r="L10" s="1" t="str">
        <f t="shared" si="7"/>
        <v>Teen</v>
      </c>
    </row>
    <row r="11" spans="2:12" ht="78" x14ac:dyDescent="0.3">
      <c r="H11" t="s">
        <v>68</v>
      </c>
      <c r="L11" s="14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76"/>
  <sheetViews>
    <sheetView topLeftCell="C64" zoomScale="189" workbookViewId="0">
      <selection activeCell="B37" sqref="B37"/>
    </sheetView>
  </sheetViews>
  <sheetFormatPr defaultColWidth="11" defaultRowHeight="15.6" x14ac:dyDescent="0.3"/>
  <cols>
    <col min="2" max="2" width="18.09765625" customWidth="1"/>
    <col min="5" max="5" width="13.59765625" customWidth="1"/>
    <col min="6" max="6" width="14.3984375" customWidth="1"/>
    <col min="7" max="7" width="21.09765625" customWidth="1"/>
    <col min="8" max="8" width="20.3984375" customWidth="1"/>
    <col min="9" max="9" width="20.8984375" customWidth="1"/>
  </cols>
  <sheetData>
    <row r="3" spans="2:7" x14ac:dyDescent="0.3">
      <c r="B3" s="2" t="s">
        <v>5</v>
      </c>
      <c r="C3" s="2" t="s">
        <v>20</v>
      </c>
      <c r="D3" s="2" t="s">
        <v>21</v>
      </c>
      <c r="E3" s="2" t="s">
        <v>6</v>
      </c>
      <c r="F3" s="7" t="s">
        <v>57</v>
      </c>
      <c r="G3" s="7" t="s">
        <v>53</v>
      </c>
    </row>
    <row r="4" spans="2:7" x14ac:dyDescent="0.3">
      <c r="B4" s="1" t="s">
        <v>46</v>
      </c>
      <c r="C4" s="1" t="s">
        <v>46</v>
      </c>
      <c r="D4" s="1"/>
      <c r="E4" s="1">
        <v>25</v>
      </c>
      <c r="F4" s="1" t="s">
        <v>43</v>
      </c>
      <c r="G4" s="1">
        <v>25</v>
      </c>
    </row>
    <row r="5" spans="2:7" x14ac:dyDescent="0.3">
      <c r="B5" s="1" t="s">
        <v>47</v>
      </c>
      <c r="C5" s="1" t="s">
        <v>46</v>
      </c>
      <c r="D5" s="1" t="s">
        <v>48</v>
      </c>
      <c r="E5" s="1">
        <v>25</v>
      </c>
      <c r="F5" s="1" t="s">
        <v>48</v>
      </c>
      <c r="G5" s="1">
        <v>25</v>
      </c>
    </row>
    <row r="6" spans="2:7" x14ac:dyDescent="0.3">
      <c r="B6" s="1" t="s">
        <v>14</v>
      </c>
      <c r="C6" s="1" t="s">
        <v>7</v>
      </c>
      <c r="D6" s="1" t="s">
        <v>49</v>
      </c>
      <c r="E6" s="1"/>
      <c r="F6" s="1" t="s">
        <v>49</v>
      </c>
      <c r="G6" s="1">
        <v>22</v>
      </c>
    </row>
    <row r="7" spans="2:7" x14ac:dyDescent="0.3">
      <c r="B7" s="1" t="s">
        <v>15</v>
      </c>
      <c r="C7" s="1" t="s">
        <v>8</v>
      </c>
      <c r="D7" s="1" t="s">
        <v>22</v>
      </c>
      <c r="E7" s="1">
        <v>18</v>
      </c>
      <c r="F7" s="1" t="s">
        <v>22</v>
      </c>
      <c r="G7" s="1">
        <v>18</v>
      </c>
    </row>
    <row r="8" spans="2:7" x14ac:dyDescent="0.3">
      <c r="B8" s="1" t="s">
        <v>25</v>
      </c>
      <c r="C8" s="1" t="s">
        <v>8</v>
      </c>
      <c r="D8" s="1" t="s">
        <v>50</v>
      </c>
      <c r="E8" s="1">
        <v>18</v>
      </c>
      <c r="F8" s="1" t="s">
        <v>50</v>
      </c>
      <c r="G8" s="1">
        <v>18</v>
      </c>
    </row>
    <row r="9" spans="2:7" x14ac:dyDescent="0.3">
      <c r="B9" s="1" t="s">
        <v>9</v>
      </c>
      <c r="C9" s="1" t="s">
        <v>9</v>
      </c>
      <c r="D9" s="1"/>
      <c r="E9" s="1">
        <v>17</v>
      </c>
      <c r="F9" s="1" t="s">
        <v>43</v>
      </c>
      <c r="G9" s="1">
        <v>17</v>
      </c>
    </row>
    <row r="10" spans="2:7" x14ac:dyDescent="0.3">
      <c r="B10" s="1" t="s">
        <v>16</v>
      </c>
      <c r="C10" s="1" t="s">
        <v>10</v>
      </c>
      <c r="D10" s="1" t="s">
        <v>51</v>
      </c>
      <c r="E10" s="1"/>
      <c r="F10" s="1" t="s">
        <v>51</v>
      </c>
      <c r="G10" s="1">
        <v>22</v>
      </c>
    </row>
    <row r="11" spans="2:7" x14ac:dyDescent="0.3">
      <c r="B11" s="1" t="s">
        <v>17</v>
      </c>
      <c r="C11" s="1" t="s">
        <v>11</v>
      </c>
      <c r="D11" s="1" t="s">
        <v>48</v>
      </c>
      <c r="E11" s="1">
        <v>22</v>
      </c>
      <c r="F11" s="1" t="s">
        <v>48</v>
      </c>
      <c r="G11" s="1">
        <v>22</v>
      </c>
    </row>
    <row r="12" spans="2:7" x14ac:dyDescent="0.3">
      <c r="B12" s="1" t="s">
        <v>18</v>
      </c>
      <c r="C12" s="1" t="s">
        <v>12</v>
      </c>
      <c r="D12" s="1" t="s">
        <v>48</v>
      </c>
      <c r="E12" s="1"/>
      <c r="F12" s="1" t="s">
        <v>48</v>
      </c>
      <c r="G12" s="1">
        <v>22</v>
      </c>
    </row>
    <row r="13" spans="2:7" x14ac:dyDescent="0.3">
      <c r="B13" s="1" t="s">
        <v>19</v>
      </c>
      <c r="C13" s="1" t="s">
        <v>13</v>
      </c>
      <c r="D13" s="1" t="s">
        <v>52</v>
      </c>
      <c r="E13" s="1">
        <v>28</v>
      </c>
      <c r="F13" s="1" t="s">
        <v>52</v>
      </c>
      <c r="G13" s="1">
        <v>28</v>
      </c>
    </row>
    <row r="15" spans="2:7" x14ac:dyDescent="0.3">
      <c r="B15" s="10" t="s">
        <v>23</v>
      </c>
      <c r="C15" s="11"/>
      <c r="D15" s="11"/>
      <c r="E15" s="12"/>
    </row>
    <row r="16" spans="2:7" x14ac:dyDescent="0.3">
      <c r="B16" s="1" t="s">
        <v>46</v>
      </c>
      <c r="C16" s="1" t="s">
        <v>46</v>
      </c>
      <c r="D16" s="1"/>
      <c r="E16" s="1">
        <v>25</v>
      </c>
    </row>
    <row r="17" spans="2:5" x14ac:dyDescent="0.3">
      <c r="B17" s="1" t="s">
        <v>14</v>
      </c>
      <c r="C17" s="1" t="s">
        <v>7</v>
      </c>
      <c r="D17" s="1" t="s">
        <v>49</v>
      </c>
      <c r="E17" s="1"/>
    </row>
    <row r="18" spans="2:5" x14ac:dyDescent="0.3">
      <c r="B18" s="1" t="s">
        <v>15</v>
      </c>
      <c r="C18" s="1" t="s">
        <v>8</v>
      </c>
      <c r="D18" s="1" t="s">
        <v>22</v>
      </c>
      <c r="E18" s="1">
        <v>18</v>
      </c>
    </row>
    <row r="19" spans="2:5" x14ac:dyDescent="0.3">
      <c r="B19" s="1" t="s">
        <v>25</v>
      </c>
      <c r="C19" s="1" t="s">
        <v>8</v>
      </c>
      <c r="D19" s="1" t="s">
        <v>50</v>
      </c>
      <c r="E19" s="1">
        <v>18</v>
      </c>
    </row>
    <row r="20" spans="2:5" x14ac:dyDescent="0.3">
      <c r="B20" s="1" t="s">
        <v>9</v>
      </c>
      <c r="C20" s="1" t="s">
        <v>9</v>
      </c>
      <c r="D20" s="1"/>
      <c r="E20" s="1">
        <v>17</v>
      </c>
    </row>
    <row r="21" spans="2:5" x14ac:dyDescent="0.3">
      <c r="B21" s="1" t="s">
        <v>16</v>
      </c>
      <c r="C21" s="1" t="s">
        <v>10</v>
      </c>
      <c r="D21" s="1" t="s">
        <v>51</v>
      </c>
      <c r="E21" s="1"/>
    </row>
    <row r="22" spans="2:5" x14ac:dyDescent="0.3">
      <c r="B22" s="1" t="s">
        <v>17</v>
      </c>
      <c r="C22" s="1" t="s">
        <v>11</v>
      </c>
      <c r="D22" s="1" t="s">
        <v>48</v>
      </c>
      <c r="E22" s="1">
        <v>22</v>
      </c>
    </row>
    <row r="23" spans="2:5" x14ac:dyDescent="0.3">
      <c r="B23" s="1" t="s">
        <v>18</v>
      </c>
      <c r="C23" s="1" t="s">
        <v>12</v>
      </c>
      <c r="D23" s="1" t="s">
        <v>48</v>
      </c>
      <c r="E23" s="1"/>
    </row>
    <row r="24" spans="2:5" x14ac:dyDescent="0.3">
      <c r="B24" s="1" t="s">
        <v>19</v>
      </c>
      <c r="C24" s="1" t="s">
        <v>13</v>
      </c>
      <c r="D24" s="1" t="s">
        <v>52</v>
      </c>
      <c r="E24" s="1">
        <v>28</v>
      </c>
    </row>
    <row r="26" spans="2:5" x14ac:dyDescent="0.3">
      <c r="B26" s="10" t="s">
        <v>24</v>
      </c>
      <c r="C26" s="11"/>
      <c r="D26" s="11"/>
      <c r="E26" s="12"/>
    </row>
    <row r="27" spans="2:5" x14ac:dyDescent="0.3">
      <c r="B27" s="1" t="s">
        <v>46</v>
      </c>
      <c r="C27" s="1"/>
      <c r="D27" s="1"/>
      <c r="E27" s="1">
        <v>25</v>
      </c>
    </row>
    <row r="28" spans="2:5" x14ac:dyDescent="0.3">
      <c r="B28" s="1" t="s">
        <v>14</v>
      </c>
      <c r="C28" s="1"/>
      <c r="D28" s="1"/>
      <c r="E28" s="1"/>
    </row>
    <row r="29" spans="2:5" x14ac:dyDescent="0.3">
      <c r="B29" s="1" t="s">
        <v>15</v>
      </c>
      <c r="C29" s="1"/>
      <c r="D29" s="1"/>
      <c r="E29" s="1">
        <v>18</v>
      </c>
    </row>
    <row r="30" spans="2:5" x14ac:dyDescent="0.3">
      <c r="B30" s="1" t="s">
        <v>9</v>
      </c>
      <c r="C30" s="1"/>
      <c r="D30" s="1"/>
      <c r="E30" s="1">
        <v>17</v>
      </c>
    </row>
    <row r="31" spans="2:5" x14ac:dyDescent="0.3">
      <c r="B31" s="1" t="s">
        <v>16</v>
      </c>
      <c r="C31" s="1"/>
      <c r="D31" s="1"/>
      <c r="E31" s="1"/>
    </row>
    <row r="32" spans="2:5" x14ac:dyDescent="0.3">
      <c r="B32" s="1" t="s">
        <v>17</v>
      </c>
      <c r="C32" s="1"/>
      <c r="D32" s="1"/>
      <c r="E32" s="1">
        <v>22</v>
      </c>
    </row>
    <row r="33" spans="2:5" x14ac:dyDescent="0.3">
      <c r="B33" s="1" t="s">
        <v>18</v>
      </c>
      <c r="C33" s="1"/>
      <c r="D33" s="1"/>
      <c r="E33" s="1"/>
    </row>
    <row r="34" spans="2:5" x14ac:dyDescent="0.3">
      <c r="B34" s="1" t="s">
        <v>19</v>
      </c>
      <c r="C34" s="1"/>
      <c r="D34" s="1"/>
      <c r="E34" s="1">
        <v>28</v>
      </c>
    </row>
    <row r="36" spans="2:5" x14ac:dyDescent="0.3">
      <c r="B36" s="10" t="s">
        <v>26</v>
      </c>
      <c r="C36" s="11"/>
      <c r="D36" s="11"/>
      <c r="E36" s="12"/>
    </row>
    <row r="37" spans="2:5" x14ac:dyDescent="0.3">
      <c r="B37" s="2" t="s">
        <v>5</v>
      </c>
      <c r="C37" s="2" t="s">
        <v>20</v>
      </c>
      <c r="D37" s="2" t="s">
        <v>21</v>
      </c>
      <c r="E37" s="2" t="s">
        <v>6</v>
      </c>
    </row>
    <row r="38" spans="2:5" x14ac:dyDescent="0.3">
      <c r="B38" s="1" t="s">
        <v>0</v>
      </c>
      <c r="C38" s="1" t="s">
        <v>0</v>
      </c>
      <c r="D38" s="1"/>
      <c r="E38" s="1">
        <v>25</v>
      </c>
    </row>
    <row r="39" spans="2:5" x14ac:dyDescent="0.3">
      <c r="B39" s="1" t="s">
        <v>0</v>
      </c>
      <c r="C39" s="1" t="s">
        <v>0</v>
      </c>
      <c r="D39" s="1"/>
      <c r="E39" s="1">
        <v>25</v>
      </c>
    </row>
    <row r="40" spans="2:5" x14ac:dyDescent="0.3">
      <c r="B40" s="1" t="s">
        <v>14</v>
      </c>
      <c r="C40" s="1" t="s">
        <v>7</v>
      </c>
      <c r="D40" s="1" t="s">
        <v>49</v>
      </c>
      <c r="E40" s="1"/>
    </row>
    <row r="41" spans="2:5" x14ac:dyDescent="0.3">
      <c r="B41" s="1" t="s">
        <v>15</v>
      </c>
      <c r="C41" s="1" t="s">
        <v>8</v>
      </c>
      <c r="D41" s="1" t="s">
        <v>22</v>
      </c>
      <c r="E41" s="1">
        <v>18</v>
      </c>
    </row>
    <row r="42" spans="2:5" x14ac:dyDescent="0.3">
      <c r="B42" s="1" t="s">
        <v>25</v>
      </c>
      <c r="C42" s="1" t="s">
        <v>8</v>
      </c>
      <c r="D42" s="1" t="s">
        <v>50</v>
      </c>
      <c r="E42" s="1">
        <v>18</v>
      </c>
    </row>
    <row r="43" spans="2:5" x14ac:dyDescent="0.3">
      <c r="B43" s="1" t="s">
        <v>9</v>
      </c>
      <c r="C43" s="1" t="s">
        <v>9</v>
      </c>
      <c r="D43" s="1"/>
      <c r="E43" s="1">
        <v>17</v>
      </c>
    </row>
    <row r="44" spans="2:5" x14ac:dyDescent="0.3">
      <c r="B44" s="1" t="s">
        <v>16</v>
      </c>
      <c r="C44" s="1" t="s">
        <v>10</v>
      </c>
      <c r="D44" s="1" t="s">
        <v>51</v>
      </c>
      <c r="E44" s="1"/>
    </row>
    <row r="45" spans="2:5" x14ac:dyDescent="0.3">
      <c r="B45" s="1" t="s">
        <v>17</v>
      </c>
      <c r="C45" s="1" t="s">
        <v>11</v>
      </c>
      <c r="D45" s="1" t="s">
        <v>48</v>
      </c>
      <c r="E45" s="1">
        <v>22</v>
      </c>
    </row>
    <row r="46" spans="2:5" x14ac:dyDescent="0.3">
      <c r="B46" s="1" t="s">
        <v>18</v>
      </c>
      <c r="C46" s="1" t="s">
        <v>12</v>
      </c>
      <c r="D46" s="1" t="s">
        <v>48</v>
      </c>
      <c r="E46" s="1"/>
    </row>
    <row r="47" spans="2:5" x14ac:dyDescent="0.3">
      <c r="B47" s="1" t="s">
        <v>19</v>
      </c>
      <c r="C47" s="1" t="s">
        <v>13</v>
      </c>
      <c r="D47" s="1" t="s">
        <v>52</v>
      </c>
      <c r="E47" s="1">
        <v>28</v>
      </c>
    </row>
    <row r="49" spans="2:8" x14ac:dyDescent="0.3">
      <c r="B49" s="2" t="s">
        <v>5</v>
      </c>
      <c r="C49" s="2" t="s">
        <v>20</v>
      </c>
      <c r="D49" s="2" t="s">
        <v>21</v>
      </c>
      <c r="E49" s="2" t="s">
        <v>6</v>
      </c>
      <c r="F49" s="2" t="s">
        <v>27</v>
      </c>
      <c r="G49" s="2" t="s">
        <v>28</v>
      </c>
      <c r="H49" s="2" t="s">
        <v>29</v>
      </c>
    </row>
    <row r="50" spans="2:8" x14ac:dyDescent="0.3">
      <c r="B50" s="1" t="s">
        <v>46</v>
      </c>
      <c r="C50" s="1" t="s">
        <v>46</v>
      </c>
      <c r="D50" s="1"/>
      <c r="E50" s="1">
        <v>25</v>
      </c>
    </row>
    <row r="51" spans="2:8" x14ac:dyDescent="0.3">
      <c r="B51" s="1" t="s">
        <v>47</v>
      </c>
      <c r="C51" s="1" t="s">
        <v>46</v>
      </c>
      <c r="D51" s="1" t="s">
        <v>48</v>
      </c>
      <c r="E51" s="1">
        <v>25</v>
      </c>
    </row>
    <row r="52" spans="2:8" x14ac:dyDescent="0.3">
      <c r="B52" s="1" t="s">
        <v>14</v>
      </c>
      <c r="C52" s="1" t="s">
        <v>7</v>
      </c>
      <c r="D52" s="1" t="s">
        <v>49</v>
      </c>
      <c r="E52" s="1"/>
    </row>
    <row r="53" spans="2:8" x14ac:dyDescent="0.3">
      <c r="B53" s="1" t="s">
        <v>15</v>
      </c>
      <c r="C53" s="1" t="s">
        <v>8</v>
      </c>
      <c r="D53" s="1" t="s">
        <v>22</v>
      </c>
      <c r="E53" s="1">
        <v>18</v>
      </c>
    </row>
    <row r="54" spans="2:8" x14ac:dyDescent="0.3">
      <c r="B54" s="1" t="s">
        <v>25</v>
      </c>
      <c r="C54" s="1" t="s">
        <v>8</v>
      </c>
      <c r="D54" s="1" t="s">
        <v>50</v>
      </c>
      <c r="E54" s="1">
        <v>18</v>
      </c>
    </row>
    <row r="55" spans="2:8" x14ac:dyDescent="0.3">
      <c r="B55" s="1" t="s">
        <v>9</v>
      </c>
      <c r="C55" s="1" t="s">
        <v>9</v>
      </c>
      <c r="D55" s="1"/>
      <c r="E55" s="1">
        <v>17</v>
      </c>
    </row>
    <row r="56" spans="2:8" x14ac:dyDescent="0.3">
      <c r="B56" s="1" t="s">
        <v>16</v>
      </c>
      <c r="C56" s="1" t="s">
        <v>10</v>
      </c>
      <c r="D56" s="1" t="s">
        <v>51</v>
      </c>
      <c r="E56" s="1"/>
    </row>
    <row r="57" spans="2:8" x14ac:dyDescent="0.3">
      <c r="B57" s="1" t="s">
        <v>17</v>
      </c>
      <c r="C57" s="1" t="s">
        <v>11</v>
      </c>
      <c r="D57" s="1" t="s">
        <v>48</v>
      </c>
      <c r="E57" s="1">
        <v>22</v>
      </c>
    </row>
    <row r="58" spans="2:8" x14ac:dyDescent="0.3">
      <c r="B58" s="1" t="s">
        <v>18</v>
      </c>
      <c r="C58" s="1" t="s">
        <v>12</v>
      </c>
      <c r="D58" s="1" t="s">
        <v>48</v>
      </c>
      <c r="E58" s="1"/>
    </row>
    <row r="59" spans="2:8" x14ac:dyDescent="0.3">
      <c r="B59" s="1" t="s">
        <v>19</v>
      </c>
      <c r="C59" s="1" t="s">
        <v>13</v>
      </c>
      <c r="D59" s="1" t="s">
        <v>52</v>
      </c>
      <c r="E59" s="1">
        <v>28</v>
      </c>
    </row>
    <row r="63" spans="2:8" x14ac:dyDescent="0.3">
      <c r="B63" s="13" t="s">
        <v>39</v>
      </c>
      <c r="C63" s="13"/>
      <c r="D63" s="13"/>
      <c r="E63" s="13"/>
      <c r="F63" s="13"/>
      <c r="G63" s="13"/>
      <c r="H63" s="13"/>
    </row>
    <row r="64" spans="2:8" x14ac:dyDescent="0.3">
      <c r="B64" s="2" t="s">
        <v>5</v>
      </c>
      <c r="C64" s="4" t="s">
        <v>6</v>
      </c>
      <c r="D64" s="4" t="s">
        <v>30</v>
      </c>
      <c r="E64" s="3" t="s">
        <v>40</v>
      </c>
      <c r="F64" s="3" t="s">
        <v>34</v>
      </c>
      <c r="G64" s="3" t="s">
        <v>35</v>
      </c>
      <c r="H64" s="3" t="s">
        <v>37</v>
      </c>
    </row>
    <row r="65" spans="2:8" x14ac:dyDescent="0.3">
      <c r="B65" s="1" t="s">
        <v>46</v>
      </c>
      <c r="C65" s="1">
        <v>25</v>
      </c>
      <c r="D65" s="5">
        <v>40000</v>
      </c>
      <c r="E65" s="1">
        <v>1</v>
      </c>
      <c r="F65" s="1">
        <f>IF(ISBLANK(E65),$E$75,E65)</f>
        <v>1</v>
      </c>
      <c r="G65" s="1">
        <f t="shared" ref="G65:G72" si="0">IF(ISBLANK(E65),2,E65)</f>
        <v>1</v>
      </c>
      <c r="H65" s="1" t="str">
        <f>SUBSTITUTE(D65,",","")</f>
        <v>40000</v>
      </c>
    </row>
    <row r="66" spans="2:8" x14ac:dyDescent="0.3">
      <c r="B66" s="1" t="s">
        <v>7</v>
      </c>
      <c r="C66" s="1">
        <v>21</v>
      </c>
      <c r="D66" s="5">
        <v>20000</v>
      </c>
      <c r="E66" s="1">
        <v>2</v>
      </c>
      <c r="F66" s="1">
        <f t="shared" ref="F66:F72" si="1">IF(ISBLANK(E66),$E$75,E66)</f>
        <v>2</v>
      </c>
      <c r="G66" s="1">
        <f t="shared" si="0"/>
        <v>2</v>
      </c>
      <c r="H66" s="1" t="str">
        <f t="shared" ref="H66:H72" si="2">SUBSTITUTE(D66,",","")</f>
        <v>20000</v>
      </c>
    </row>
    <row r="67" spans="2:8" x14ac:dyDescent="0.3">
      <c r="B67" s="1" t="s">
        <v>8</v>
      </c>
      <c r="C67" s="1">
        <v>26</v>
      </c>
      <c r="D67" s="5">
        <v>19000</v>
      </c>
      <c r="E67" s="1">
        <v>2</v>
      </c>
      <c r="F67" s="1">
        <f t="shared" si="1"/>
        <v>2</v>
      </c>
      <c r="G67" s="1">
        <f t="shared" si="0"/>
        <v>2</v>
      </c>
      <c r="H67" s="1" t="str">
        <f t="shared" si="2"/>
        <v>19000</v>
      </c>
    </row>
    <row r="68" spans="2:8" x14ac:dyDescent="0.3">
      <c r="B68" s="1" t="s">
        <v>9</v>
      </c>
      <c r="C68" s="1">
        <v>27</v>
      </c>
      <c r="D68" s="5">
        <v>28000</v>
      </c>
      <c r="E68" s="1"/>
      <c r="F68" s="1">
        <f t="shared" si="1"/>
        <v>2</v>
      </c>
      <c r="G68" s="1">
        <f t="shared" si="0"/>
        <v>2</v>
      </c>
      <c r="H68" s="1" t="str">
        <f t="shared" si="2"/>
        <v>28000</v>
      </c>
    </row>
    <row r="69" spans="2:8" x14ac:dyDescent="0.3">
      <c r="B69" s="1" t="s">
        <v>10</v>
      </c>
      <c r="C69" s="1">
        <v>22</v>
      </c>
      <c r="D69" s="5">
        <v>35000</v>
      </c>
      <c r="E69" s="1">
        <v>5</v>
      </c>
      <c r="F69" s="1">
        <f t="shared" si="1"/>
        <v>5</v>
      </c>
      <c r="G69" s="1">
        <f t="shared" si="0"/>
        <v>5</v>
      </c>
      <c r="H69" s="1" t="str">
        <f t="shared" si="2"/>
        <v>35000</v>
      </c>
    </row>
    <row r="70" spans="2:8" x14ac:dyDescent="0.3">
      <c r="B70" s="1" t="s">
        <v>11</v>
      </c>
      <c r="C70" s="1">
        <v>22</v>
      </c>
      <c r="D70" s="5">
        <v>24000</v>
      </c>
      <c r="E70" s="1">
        <v>2</v>
      </c>
      <c r="F70" s="1">
        <f t="shared" si="1"/>
        <v>2</v>
      </c>
      <c r="G70" s="1">
        <f t="shared" si="0"/>
        <v>2</v>
      </c>
      <c r="H70" s="1" t="str">
        <f t="shared" si="2"/>
        <v>24000</v>
      </c>
    </row>
    <row r="71" spans="2:8" x14ac:dyDescent="0.3">
      <c r="B71" s="1" t="s">
        <v>12</v>
      </c>
      <c r="C71" s="1">
        <v>25</v>
      </c>
      <c r="D71" s="5">
        <v>18000</v>
      </c>
      <c r="E71" s="1">
        <v>1</v>
      </c>
      <c r="F71" s="1">
        <f t="shared" si="1"/>
        <v>1</v>
      </c>
      <c r="G71" s="1">
        <f t="shared" si="0"/>
        <v>1</v>
      </c>
      <c r="H71" s="1" t="str">
        <f t="shared" si="2"/>
        <v>18000</v>
      </c>
    </row>
    <row r="72" spans="2:8" x14ac:dyDescent="0.3">
      <c r="B72" s="1" t="s">
        <v>13</v>
      </c>
      <c r="C72" s="1">
        <v>29</v>
      </c>
      <c r="D72" s="5">
        <v>39000</v>
      </c>
      <c r="E72" s="1"/>
      <c r="F72" s="1">
        <f t="shared" si="1"/>
        <v>2</v>
      </c>
      <c r="G72" s="1">
        <f t="shared" si="0"/>
        <v>2</v>
      </c>
      <c r="H72" s="1" t="str">
        <f t="shared" si="2"/>
        <v>39000</v>
      </c>
    </row>
    <row r="74" spans="2:8" x14ac:dyDescent="0.3">
      <c r="C74" t="s">
        <v>32</v>
      </c>
      <c r="D74">
        <f>SUM(E65:E72)</f>
        <v>13</v>
      </c>
      <c r="F74" t="s">
        <v>36</v>
      </c>
      <c r="G74" t="s">
        <v>36</v>
      </c>
      <c r="H74" t="s">
        <v>38</v>
      </c>
    </row>
    <row r="75" spans="2:8" x14ac:dyDescent="0.3">
      <c r="C75" t="s">
        <v>31</v>
      </c>
      <c r="D75">
        <f>AVERAGE((E65:E72))</f>
        <v>2.1666666666666665</v>
      </c>
      <c r="E75">
        <f>ROUND(D75,0)</f>
        <v>2</v>
      </c>
    </row>
    <row r="76" spans="2:8" x14ac:dyDescent="0.3">
      <c r="C76" t="s">
        <v>33</v>
      </c>
      <c r="D76">
        <f>ROUND(AVERAGE(E65:E72),0)</f>
        <v>2</v>
      </c>
    </row>
  </sheetData>
  <autoFilter ref="B37:E37"/>
  <mergeCells count="4">
    <mergeCell ref="B15:E15"/>
    <mergeCell ref="B26:E26"/>
    <mergeCell ref="B36:E36"/>
    <mergeCell ref="B63:H63"/>
  </mergeCells>
  <dataValidations count="1">
    <dataValidation type="whole" showInputMessage="1" showErrorMessage="1" sqref="D65:D72">
      <formula1>0</formula1>
      <formula2>100000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Conditional</vt:lpstr>
      <vt:lpstr>Sheet2</vt:lpstr>
      <vt:lpstr>Sheet1</vt:lpstr>
      <vt:lpstr>2. Handling Null and 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Harshvardhan Singh</cp:lastModifiedBy>
  <dcterms:created xsi:type="dcterms:W3CDTF">2023-12-06T04:08:35Z</dcterms:created>
  <dcterms:modified xsi:type="dcterms:W3CDTF">2026-01-02T10:53:26Z</dcterms:modified>
</cp:coreProperties>
</file>